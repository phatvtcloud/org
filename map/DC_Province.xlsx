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2c7edca7daaa657/Image/Hình ảnh/ThanhPhat_Masan/DC FMCG/org/map/"/>
    </mc:Choice>
  </mc:AlternateContent>
  <xr:revisionPtr revIDLastSave="10" documentId="8_{69D89A4B-C117-4522-9C42-D6F8D84E04A7}" xr6:coauthVersionLast="47" xr6:coauthVersionMax="47" xr10:uidLastSave="{A6D9D1FD-F9CC-440E-B1A3-6E7E246E2144}"/>
  <bookViews>
    <workbookView xWindow="28680" yWindow="-120" windowWidth="29040" windowHeight="15720" activeTab="1" xr2:uid="{00000000-000D-0000-FFFF-FFFF00000000}"/>
  </bookViews>
  <sheets>
    <sheet name="Sheet1" sheetId="1" r:id="rId1"/>
    <sheet name="LatLong" sheetId="3" r:id="rId2"/>
    <sheet name="Raw" sheetId="2" r:id="rId3"/>
  </sheets>
  <definedNames>
    <definedName name="_xlnm._FilterDatabase" localSheetId="0" hidden="1">Sheet1!$A$1:$B$63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1" l="1"/>
  <c r="D64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D2" i="1"/>
  <c r="C2" i="1"/>
</calcChain>
</file>

<file path=xl/sharedStrings.xml><?xml version="1.0" encoding="utf-8"?>
<sst xmlns="http://schemas.openxmlformats.org/spreadsheetml/2006/main" count="647" uniqueCount="552">
  <si>
    <t>CITY</t>
  </si>
  <si>
    <t>T. Thanh Hóa</t>
  </si>
  <si>
    <t>T. Hà Tĩnh</t>
  </si>
  <si>
    <t>T. Quảng Bình</t>
  </si>
  <si>
    <t>T. Quảng Trị</t>
  </si>
  <si>
    <t>T. Thừa Thiên - Huế</t>
  </si>
  <si>
    <t>T. Nghệ An</t>
  </si>
  <si>
    <t>T. Bình Dương</t>
  </si>
  <si>
    <t>TP. Hồ Chí Minh</t>
  </si>
  <si>
    <t>T. Ninh Thuận</t>
  </si>
  <si>
    <t>T. Khánh Hòa</t>
  </si>
  <si>
    <t>T. Đồng Nai</t>
  </si>
  <si>
    <t>T. Tây Ninh</t>
  </si>
  <si>
    <t>T. Lâm Đồng</t>
  </si>
  <si>
    <t>T. Bà Rịa - Vũng Tàu</t>
  </si>
  <si>
    <t>T. Bình Phước</t>
  </si>
  <si>
    <t>T. Bình Thuận</t>
  </si>
  <si>
    <t>TP. Đà Nẵng</t>
  </si>
  <si>
    <t>T. Phú Yên</t>
  </si>
  <si>
    <t>T. Đắk Lắk</t>
  </si>
  <si>
    <t>T. Quảng Ngãi</t>
  </si>
  <si>
    <t>T. Bình Định</t>
  </si>
  <si>
    <t>T. Gia Lai</t>
  </si>
  <si>
    <t>T. Quảng Nam</t>
  </si>
  <si>
    <t>TP. Hà Nội</t>
  </si>
  <si>
    <t>T. Ninh Bình</t>
  </si>
  <si>
    <t>TP. Hải Phòng</t>
  </si>
  <si>
    <t>T. Thái Bình</t>
  </si>
  <si>
    <t>T. Hưng Yên</t>
  </si>
  <si>
    <t>T. Hải Dương</t>
  </si>
  <si>
    <t>T. Hà Nam</t>
  </si>
  <si>
    <t>T. Nam Định</t>
  </si>
  <si>
    <t>TP. Cần Thơ</t>
  </si>
  <si>
    <t>T. An Giang</t>
  </si>
  <si>
    <t>T. Bạc Liêu</t>
  </si>
  <si>
    <t>T. Cà Mau</t>
  </si>
  <si>
    <t>T. Trà Vinh</t>
  </si>
  <si>
    <t>T. Vĩnh Long</t>
  </si>
  <si>
    <t>T. Kiên Giang</t>
  </si>
  <si>
    <t>T. Hậu Giang</t>
  </si>
  <si>
    <t>T. Long An</t>
  </si>
  <si>
    <t>T. Đồng Tháp</t>
  </si>
  <si>
    <t>T. Sóc Trăng</t>
  </si>
  <si>
    <t>T. Tiền Giang</t>
  </si>
  <si>
    <t>T. Bến Tre</t>
  </si>
  <si>
    <t>T. Quảng Ninh</t>
  </si>
  <si>
    <t>T. Phú Thọ</t>
  </si>
  <si>
    <t>T. Yên Bái</t>
  </si>
  <si>
    <t>T. Lào Cai</t>
  </si>
  <si>
    <t>T. Tuyên Quang</t>
  </si>
  <si>
    <t>T. Sơn La</t>
  </si>
  <si>
    <t>T. Thái Nguyên</t>
  </si>
  <si>
    <t>T. Lạng Sơn</t>
  </si>
  <si>
    <t>T. Bắc Ninh</t>
  </si>
  <si>
    <t>T. Hòa Bình</t>
  </si>
  <si>
    <t>T. Bắc Kạn</t>
  </si>
  <si>
    <t>T. Lai Châu</t>
  </si>
  <si>
    <t>T. Vĩnh Phúc</t>
  </si>
  <si>
    <t>T. Bắc Giang</t>
  </si>
  <si>
    <t>T. Hà Giang</t>
  </si>
  <si>
    <t>T. Cao Bằng</t>
  </si>
  <si>
    <t>T. Điện Biên</t>
  </si>
  <si>
    <t>T. Kon Tum</t>
  </si>
  <si>
    <t>An Giang</t>
  </si>
  <si>
    <t>Long An</t>
  </si>
  <si>
    <t>Gia Lai</t>
  </si>
  <si>
    <t>Kon Tum</t>
  </si>
  <si>
    <t>Thanh Hoa</t>
  </si>
  <si>
    <t>Ha Tinh</t>
  </si>
  <si>
    <t>Quang Binh</t>
  </si>
  <si>
    <t>Thua Thien - Hue</t>
  </si>
  <si>
    <t>Nghe An</t>
  </si>
  <si>
    <t>Quang Tri</t>
  </si>
  <si>
    <t>Binh Duong</t>
  </si>
  <si>
    <t>Ninh Thuan</t>
  </si>
  <si>
    <t>Dong Nai</t>
  </si>
  <si>
    <t>Tay Ninh</t>
  </si>
  <si>
    <t>Lam Dong</t>
  </si>
  <si>
    <t>Ba Ria - Vung Tau</t>
  </si>
  <si>
    <t>Binh Phuoc</t>
  </si>
  <si>
    <t>Binh Thuan</t>
  </si>
  <si>
    <t>TP. Ho Chi Minh</t>
  </si>
  <si>
    <t>Khanh Hoa</t>
  </si>
  <si>
    <t>Phu Yen</t>
  </si>
  <si>
    <t>Quang Ngai</t>
  </si>
  <si>
    <t>Binh Dinh</t>
  </si>
  <si>
    <t>Quang Nam</t>
  </si>
  <si>
    <t>Ninh Binh</t>
  </si>
  <si>
    <t>Thai Binh</t>
  </si>
  <si>
    <t>Hai Duong</t>
  </si>
  <si>
    <t>Ha Nam</t>
  </si>
  <si>
    <t>Hung Yen</t>
  </si>
  <si>
    <t>Nam Dinh</t>
  </si>
  <si>
    <t>Bac Lieu</t>
  </si>
  <si>
    <t>Tra Vinh</t>
  </si>
  <si>
    <t>Vinh Long</t>
  </si>
  <si>
    <t>Kien Giang</t>
  </si>
  <si>
    <t>Hau Giang</t>
  </si>
  <si>
    <t>Dong Thap</t>
  </si>
  <si>
    <t>Soc Trang</t>
  </si>
  <si>
    <t>Ca Mau</t>
  </si>
  <si>
    <t>Tien Giang</t>
  </si>
  <si>
    <t>Ben Tre</t>
  </si>
  <si>
    <t>Quang Ninh</t>
  </si>
  <si>
    <t>Phu Tho</t>
  </si>
  <si>
    <t>Yen Bai</t>
  </si>
  <si>
    <t>Tuyen Quang</t>
  </si>
  <si>
    <t>Son La</t>
  </si>
  <si>
    <t>Thai Nguyen</t>
  </si>
  <si>
    <t>Lang Son</t>
  </si>
  <si>
    <t>Bac Ninh</t>
  </si>
  <si>
    <t>Hoa Binh</t>
  </si>
  <si>
    <t>Bac Kan</t>
  </si>
  <si>
    <t>Lai Chau</t>
  </si>
  <si>
    <t>Vinh Phuc</t>
  </si>
  <si>
    <t>Bac Giang</t>
  </si>
  <si>
    <t>Lao Cai</t>
  </si>
  <si>
    <t>Ha Giang</t>
  </si>
  <si>
    <t>Cao Bang</t>
  </si>
  <si>
    <t>Dien Bien</t>
  </si>
  <si>
    <t>Dak Lak</t>
  </si>
  <si>
    <t>Can Tho</t>
  </si>
  <si>
    <t>Da Nang</t>
  </si>
  <si>
    <t>Ha Noi</t>
  </si>
  <si>
    <t>Hai Phong</t>
  </si>
  <si>
    <t>Name</t>
  </si>
  <si>
    <t>TỈNH LÀO CAI</t>
  </si>
  <si>
    <t>T. LÀO CAI</t>
  </si>
  <si>
    <t>TỈNH LAI CHÂU</t>
  </si>
  <si>
    <t>T. LAI CHÂU</t>
  </si>
  <si>
    <t>TỈNH ĐIỆN BIÊN</t>
  </si>
  <si>
    <t>T. ĐIỆN BIÊN</t>
  </si>
  <si>
    <t>TỈNH YÊN BÁI</t>
  </si>
  <si>
    <t>T. YÊN BÁI</t>
  </si>
  <si>
    <t>TỈNH SƠN LA</t>
  </si>
  <si>
    <t>T. SƠN LA</t>
  </si>
  <si>
    <t>TỈNH HÒA BÌNH</t>
  </si>
  <si>
    <t>T. HÒA BÌNH</t>
  </si>
  <si>
    <t>TỈNH HÀ GIANG</t>
  </si>
  <si>
    <t>T. HÀ GIANG</t>
  </si>
  <si>
    <t>TỈNH CAO BẰNG</t>
  </si>
  <si>
    <t>T. CAO BẰNG</t>
  </si>
  <si>
    <t>TỈNH LẠNG SƠN</t>
  </si>
  <si>
    <t>T. LẠNG SƠN</t>
  </si>
  <si>
    <t>TỈNH BẮC KẠN</t>
  </si>
  <si>
    <t>T. BẮC KẠN</t>
  </si>
  <si>
    <t>TỈNH THÁI NGUYÊN</t>
  </si>
  <si>
    <t>T. THÁI NGUYÊN</t>
  </si>
  <si>
    <t>TỈNH BẮC GIANG</t>
  </si>
  <si>
    <t>T. BẮC GIANG</t>
  </si>
  <si>
    <t>TỈNH TUYÊN QUANG</t>
  </si>
  <si>
    <t>T. TUYÊN QUANG</t>
  </si>
  <si>
    <t>TỈNH QUẢNG NINH</t>
  </si>
  <si>
    <t>T. QUẢNG NINH</t>
  </si>
  <si>
    <t>TỈNH PHÚ THỌ</t>
  </si>
  <si>
    <t>T. PHÚ THỌ</t>
  </si>
  <si>
    <t>TP. HÀ NỘI</t>
  </si>
  <si>
    <t>TỈNH BẮC NINH</t>
  </si>
  <si>
    <t>T. BẮC NINH</t>
  </si>
  <si>
    <t>TỈNH HƯNG YÊN</t>
  </si>
  <si>
    <t>T. HƯNG YÊN</t>
  </si>
  <si>
    <t>TỈNH HẢI DƯƠNG</t>
  </si>
  <si>
    <t>T. HẢI DƯƠNG</t>
  </si>
  <si>
    <t>TP. HẢI PHÒNG</t>
  </si>
  <si>
    <t>TỈNH THÁI BÌNH</t>
  </si>
  <si>
    <t>T. THÁI BÌNH</t>
  </si>
  <si>
    <t>TỈNH VĨNH PHÚC</t>
  </si>
  <si>
    <t>T. VĨNH PHÚC</t>
  </si>
  <si>
    <t>TỈNH NAM ĐỊNH</t>
  </si>
  <si>
    <t>T. NAM ĐỊNH</t>
  </si>
  <si>
    <t>TỈNH HÀ NAM</t>
  </si>
  <si>
    <t>T. HÀ NAM</t>
  </si>
  <si>
    <t>TỈNH NINH BÌNH</t>
  </si>
  <si>
    <t>T. NINH BÌNH</t>
  </si>
  <si>
    <t>TỈNH THANH HÓA</t>
  </si>
  <si>
    <t>T. THANH HÓA</t>
  </si>
  <si>
    <t>TỈNH NGHỆ AN</t>
  </si>
  <si>
    <t>T. NGHỆ AN</t>
  </si>
  <si>
    <t>TỈNH HÀ TĨNH</t>
  </si>
  <si>
    <t>T. HÀ TĨNH</t>
  </si>
  <si>
    <t>TỈNH QUẢNG BÌNH</t>
  </si>
  <si>
    <t>T. QUẢNG BÌNH</t>
  </si>
  <si>
    <t>TỈNH QUẢNG TRỊ</t>
  </si>
  <si>
    <t>T. QUẢNG TRỊ</t>
  </si>
  <si>
    <t>TỈNH THỪA THIÊN HUẾ</t>
  </si>
  <si>
    <t>T. THỪA THIÊN - HUẾ</t>
  </si>
  <si>
    <t>TP. ĐÀ NẴNG</t>
  </si>
  <si>
    <t>TỈNH QUẢNG NAM</t>
  </si>
  <si>
    <t>T. QUẢNG NAM</t>
  </si>
  <si>
    <t>TỈNH QUẢNG NGÃI</t>
  </si>
  <si>
    <t>T. QUẢNG NGÃI</t>
  </si>
  <si>
    <t>TỈNH BÌNH ĐỊNH</t>
  </si>
  <si>
    <t>T. BÌNH ĐỊNH</t>
  </si>
  <si>
    <t>TỈNH PHÚ YÊN</t>
  </si>
  <si>
    <t>T. PHÚ YÊN</t>
  </si>
  <si>
    <t>TỈNH KHÁNH HÒA</t>
  </si>
  <si>
    <t>T. KHÁNH HÒA</t>
  </si>
  <si>
    <t>TỈNH NINH THUẬN</t>
  </si>
  <si>
    <t>T. NINH THUẬN</t>
  </si>
  <si>
    <t>TỈNH BÌNH THUẬN</t>
  </si>
  <si>
    <t>T. BÌNH THUẬN</t>
  </si>
  <si>
    <t>TỈNH KON TUM</t>
  </si>
  <si>
    <t>T. KON TUM</t>
  </si>
  <si>
    <t>TỈNH GIA LAI</t>
  </si>
  <si>
    <t>T. GIA LAI</t>
  </si>
  <si>
    <t>TỈNH ĐẮK LẮK</t>
  </si>
  <si>
    <t>T. ĐẮK LẮK</t>
  </si>
  <si>
    <t>TỈNH ĐẮK NÔNG</t>
  </si>
  <si>
    <t>T. ĐẮK NÔNG</t>
  </si>
  <si>
    <t>TỈNH LÂM ĐỒNG</t>
  </si>
  <si>
    <t>T. LÂM ĐỒNG</t>
  </si>
  <si>
    <t>TỈNH ĐỒNG NAI</t>
  </si>
  <si>
    <t>T. ĐỒNG NAI</t>
  </si>
  <si>
    <t>TỈNH BÀ RỊA - VŨNG TÀU</t>
  </si>
  <si>
    <t>T. BÀ RỊA - VŨNG TÀU</t>
  </si>
  <si>
    <t>TỈNH BÌNH DƯƠNG</t>
  </si>
  <si>
    <t>T. BÌNH DƯƠNG</t>
  </si>
  <si>
    <t>TỈNH BÌNH PHƯỚC</t>
  </si>
  <si>
    <t>T. BÌNH PHƯỚC</t>
  </si>
  <si>
    <t>TỈNH TÂY NINH</t>
  </si>
  <si>
    <t>T. TÂY NINH</t>
  </si>
  <si>
    <t>TP. HỒ CHÍ MINH</t>
  </si>
  <si>
    <t>TỈNH LONG AN</t>
  </si>
  <si>
    <t>T. LONG AN</t>
  </si>
  <si>
    <t>TỈNH TIỀN GIANG</t>
  </si>
  <si>
    <t>T. TIỀN GIANG</t>
  </si>
  <si>
    <t>TỈNH BẾN TRE</t>
  </si>
  <si>
    <t>T. BẾN TRE</t>
  </si>
  <si>
    <t>TỈNH ĐỒNG THÁP</t>
  </si>
  <si>
    <t>T. ĐỒNG THÁP</t>
  </si>
  <si>
    <t>TỈNH VĨNH LONG</t>
  </si>
  <si>
    <t>T. VĨNH LONG</t>
  </si>
  <si>
    <t>TỈNH TRÀ VINH</t>
  </si>
  <si>
    <t>T. TRÀ VINH</t>
  </si>
  <si>
    <t>TỈNH AN GIANG</t>
  </si>
  <si>
    <t>T. AN GIANG</t>
  </si>
  <si>
    <t>TP. CẦN THƠ</t>
  </si>
  <si>
    <t>TỈNH HẬU GIANG</t>
  </si>
  <si>
    <t>T. HẬU GIANG</t>
  </si>
  <si>
    <t>TỈNH SÓC TRĂNG</t>
  </si>
  <si>
    <t>T. SÓC TRĂNG</t>
  </si>
  <si>
    <t>TỈNH BẠC LIÊU</t>
  </si>
  <si>
    <t>T. BẠC LIÊU</t>
  </si>
  <si>
    <t>TỈNH KIÊN GIANG</t>
  </si>
  <si>
    <t>T. KIÊN GIANG</t>
  </si>
  <si>
    <t>TỈNH CÀ MAU</t>
  </si>
  <si>
    <t>T. CÀ MAU</t>
  </si>
  <si>
    <t>Nhóm</t>
  </si>
  <si>
    <t>TỈNH</t>
  </si>
  <si>
    <t>Dak Nong</t>
  </si>
  <si>
    <t>Phân loại</t>
  </si>
  <si>
    <t>Tên Tắt</t>
  </si>
  <si>
    <t>DC name</t>
  </si>
  <si>
    <t>Mã DC</t>
  </si>
  <si>
    <t>DC_Number</t>
  </si>
  <si>
    <t>Mã DC_CT</t>
  </si>
  <si>
    <t>Địa chỉ</t>
  </si>
  <si>
    <t>Tọa độ (kinh độ, vĩ độ)</t>
  </si>
  <si>
    <t>Diện tích</t>
  </si>
  <si>
    <t>Latitude</t>
  </si>
  <si>
    <t>Longitude</t>
  </si>
  <si>
    <t>DC</t>
  </si>
  <si>
    <t>Bình Thuận</t>
  </si>
  <si>
    <t>Trung Tâm Phân Phối Bình Thuận</t>
  </si>
  <si>
    <t>07. Bình Thuận</t>
  </si>
  <si>
    <t>MTV</t>
  </si>
  <si>
    <t>VHD</t>
  </si>
  <si>
    <t>Thôn Vĩnh Sơn, xã Vĩnh Hảo, Tỉnh Lâm Đồng</t>
  </si>
  <si>
    <t>11°16'37.5"N 108°44'04.2"E</t>
  </si>
  <si>
    <t>Cần Thơ</t>
  </si>
  <si>
    <t>Trung tâm Phân phối Cần Thơ</t>
  </si>
  <si>
    <t>13. Hậu Giang Foods</t>
  </si>
  <si>
    <t>MDQ</t>
  </si>
  <si>
    <t>FHG</t>
  </si>
  <si>
    <t>Kho Mekong, KCN Sông Hậu- Giai đoạn 1, xã Châu Thành, TP. Cần Thơ</t>
  </si>
  <si>
    <t>9°57'53.1"N 105°50'57.9"E</t>
  </si>
  <si>
    <t>Đà Nẵng</t>
  </si>
  <si>
    <t>Trung Tâm Phân Phối Đà Nẵng</t>
  </si>
  <si>
    <t>06. Đà Nẵng</t>
  </si>
  <si>
    <t>MTN</t>
  </si>
  <si>
    <t>DND</t>
  </si>
  <si>
    <t>Kho Kim Thành Lợi, Đường Số 9, KCN Hòa Khánh, Phường Liên Chiểu, TP. Đà Nẵng</t>
  </si>
  <si>
    <t>16°05'06.0"N 108°08'25.5"E</t>
  </si>
  <si>
    <t>NM Net</t>
  </si>
  <si>
    <t>Trung tâm Phân phối Đồng Nai</t>
  </si>
  <si>
    <t>12. NETCO</t>
  </si>
  <si>
    <t>NEU</t>
  </si>
  <si>
    <t>NET</t>
  </si>
  <si>
    <t>Đường D4, KCN Lộc An - Bình Sơn, Xã Long Thành, Tỉnh Đồng Nai</t>
  </si>
  <si>
    <t>10°47'12.5"N 106°59'29.8"E</t>
  </si>
  <si>
    <t>Hải Dương</t>
  </si>
  <si>
    <t>Trung Tâm Phân Phối Hải Dương</t>
  </si>
  <si>
    <t>01. Hải Dương</t>
  </si>
  <si>
    <t>MTS</t>
  </si>
  <si>
    <t>HDD</t>
  </si>
  <si>
    <t>Km 48+450, Quốc Lộ 5, Phường Việt Hòa, Thành Phố Hải Phòng</t>
  </si>
  <si>
    <t>20°56'20.4"N 106°17'42.1"E</t>
  </si>
  <si>
    <t>Hải Phòng</t>
  </si>
  <si>
    <t>Trung tâm Phân phối Hải Phòng</t>
  </si>
  <si>
    <t>05. Hải Phòng</t>
  </si>
  <si>
    <t>MDV</t>
  </si>
  <si>
    <t>HPD</t>
  </si>
  <si>
    <t>Cổng 3 cảng nội địa hải dương, Km 48+450 Quốc lộ 5, Phường Việt Hòa, Thành phố Hải Phòng</t>
  </si>
  <si>
    <t>20°49'10.0"N 106°46'39.4"E</t>
  </si>
  <si>
    <t>Hậu Giang Beer</t>
  </si>
  <si>
    <t>Trung Tâm Phân Phối Hậu Giang</t>
  </si>
  <si>
    <t>14. Hậu Giang Beer</t>
  </si>
  <si>
    <t>MBG</t>
  </si>
  <si>
    <t>BHG</t>
  </si>
  <si>
    <t>Khu Công Nghiệp Sông Hậu, Xã Châu Thành , Thành phố Cần Thơ</t>
  </si>
  <si>
    <t>9°57'53.2"N 105°50'32.9"E</t>
  </si>
  <si>
    <t>Hưng Yên</t>
  </si>
  <si>
    <t>Trung Tâm Phân Phối Hưng Yên</t>
  </si>
  <si>
    <t>02. Hưng Yên</t>
  </si>
  <si>
    <t>MTH</t>
  </si>
  <si>
    <t>HYD</t>
  </si>
  <si>
    <t>V3W8+MFV, Xã Tân Lập, tỉnh Hưng Yên</t>
  </si>
  <si>
    <t>20.89694354346599, 106.06626012649295</t>
  </si>
  <si>
    <t>Thành Huy - Hưng Yên</t>
  </si>
  <si>
    <t>Kho HY: nằm trong Cty Dịch Vụ Logictis Thành Huy - Q.Lộ 5A, Phường Đường Hào, Hưng Yên</t>
  </si>
  <si>
    <t>20°55'45.0"N 106°04'02.2"E</t>
  </si>
  <si>
    <t>Đông Dương - Hưng Yên</t>
  </si>
  <si>
    <t>Thôn Tử Cầu, Xã Nguyễn Văn Linh, tỉnh Hưng Yên</t>
  </si>
  <si>
    <t>20.954388190162952, 106.00570588741586</t>
  </si>
  <si>
    <t>Nghệ An</t>
  </si>
  <si>
    <t>Trung Tâm Phân Phối Nghệ An</t>
  </si>
  <si>
    <t>03. Nghệ An</t>
  </si>
  <si>
    <t>MTA</t>
  </si>
  <si>
    <t>NAD</t>
  </si>
  <si>
    <t>Khu A, Khu Nam Cấm, Khu Kinh Tế Đông Nam, Xã Trung Lộc, Nghệ An</t>
  </si>
  <si>
    <t>18°49'42.5"N 105°39'24.7"E</t>
  </si>
  <si>
    <t>Phú Yên</t>
  </si>
  <si>
    <t>Trung Tâm Phân Phối Phú Yên</t>
  </si>
  <si>
    <t>09. Phú Yên</t>
  </si>
  <si>
    <t>MBN</t>
  </si>
  <si>
    <t>BPY</t>
  </si>
  <si>
    <t>Lô A12 - A14 Khu công nghiệp Hòa Hiệp, Phường Hòa Hiệp, Đắk Lắk</t>
  </si>
  <si>
    <t>13°00'43.3"N 109°21'52.7"E</t>
  </si>
  <si>
    <t>Quang Hanh</t>
  </si>
  <si>
    <t>Trung Tâm Phân Phối Quang Hanh</t>
  </si>
  <si>
    <t>04. Quang Hanh</t>
  </si>
  <si>
    <t>QHD</t>
  </si>
  <si>
    <t>Km 9, P. Quang Hanh, T. Quảng Ninh</t>
  </si>
  <si>
    <t>21°00'11.9"N 107°13'25.8"E</t>
  </si>
  <si>
    <t>TBS</t>
  </si>
  <si>
    <t>Trung Tâm Phân Phối Sóng Thần - 3PLs</t>
  </si>
  <si>
    <t>10. TBS</t>
  </si>
  <si>
    <t>GMT</t>
  </si>
  <si>
    <t>Đường DT743, Phường Dĩ An, TPHCM</t>
  </si>
  <si>
    <t>10°55'33.6"N 106°44'40.5"E</t>
  </si>
  <si>
    <t>Kerry</t>
  </si>
  <si>
    <t>Trung Tâm Phân Phối Sóng Thần - Inhouse</t>
  </si>
  <si>
    <t>08. Kerry</t>
  </si>
  <si>
    <t>MTD</t>
  </si>
  <si>
    <t>STD</t>
  </si>
  <si>
    <t>Kho số 1, Tổng kho Kerry, đường số 18, KCN Sóng Thần 2, Phường Dĩ An, TPHCM</t>
  </si>
  <si>
    <t>10°53'24.7"N 106°44'03.6"E</t>
  </si>
  <si>
    <t>Suối Mơ</t>
  </si>
  <si>
    <t>Trung Tâm Phân Phối Suối Mơ</t>
  </si>
  <si>
    <t>SMD</t>
  </si>
  <si>
    <t>Tổ 5, khu 8, P. Bãi Cháy, T. Quảng Ninh</t>
  </si>
  <si>
    <t>20°57'38.9"N 107°01'40.1"E</t>
  </si>
  <si>
    <t>Tanimex - Tân Bình</t>
  </si>
  <si>
    <t>Trung Tâm Phân Phối Tân Bình</t>
  </si>
  <si>
    <t>11. Tân Bình</t>
  </si>
  <si>
    <t>MTF</t>
  </si>
  <si>
    <t>HCM</t>
  </si>
  <si>
    <t>Kho xưởng lô 1-6, Cụm 1, Đường M14, KCN Tân Bình, Phường Bình Hưng Hòa, TPHCM</t>
  </si>
  <si>
    <t>10°49'14.4"N 106°36'50.7"E</t>
  </si>
  <si>
    <t>Miền Núi - Tân Bình</t>
  </si>
  <si>
    <t>Lô III 14, Đường số 1, Nhóm CN III, KCN Tân Bình, Phường Tây Thạnh, TPHCM</t>
  </si>
  <si>
    <t>10.820919510037575, 106.61709947035497</t>
  </si>
  <si>
    <t>Việt Tiến - Tân Bình</t>
  </si>
  <si>
    <t>Lô III-10 Nhóm KCN III, KCN Tân Bình, Phường Tây Thạnh, TPHCM</t>
  </si>
  <si>
    <t>Vân Trúc</t>
  </si>
  <si>
    <t>Trung tâm phân phối Vân Trúc</t>
  </si>
  <si>
    <t>08.1. Kho Vân Trúc</t>
  </si>
  <si>
    <t>100/1G Khu Phố Đồng An 2, Phường Bình Hòa, TPHCM</t>
  </si>
  <si>
    <t>10.898892302150536, 106.72275468517746</t>
  </si>
  <si>
    <t>BW</t>
  </si>
  <si>
    <t>Trung tâm phân phối BW</t>
  </si>
  <si>
    <t>08.2. Kho BW</t>
  </si>
  <si>
    <t>15. Đồng Nai</t>
  </si>
  <si>
    <t>DN2</t>
  </si>
  <si>
    <t>VX24+662, Long Đức, Long Thành, Đồng Nai, Vietnam</t>
  </si>
  <si>
    <t>10.851160102363028, 106.95547296357032</t>
  </si>
  <si>
    <t>An Bình DCs</t>
  </si>
  <si>
    <t>ABD</t>
  </si>
  <si>
    <t>An Bình, Thành phố Biên Hòa, Đồng Nai</t>
  </si>
  <si>
    <t>10.919767850139456, 106.85998435794458</t>
  </si>
  <si>
    <t>Kho MML - Hà Nam</t>
  </si>
  <si>
    <t>HYM</t>
  </si>
  <si>
    <t>Đại Cương, Kim Bảng, Hà Nam</t>
  </si>
  <si>
    <t>20.636496060714716, 105.88530447418114</t>
  </si>
  <si>
    <t>Kho MML - Long An</t>
  </si>
  <si>
    <t>LAM</t>
  </si>
  <si>
    <t>Khu Công Nghiệp Tân Đức, Xã Hựu Thành, Huyện Đức Hòa, Tỉnh Long An</t>
  </si>
  <si>
    <t>10.783012788829994, 106.46042287671807</t>
  </si>
  <si>
    <t>Factory</t>
  </si>
  <si>
    <t>Nhà máy Quang Hanh</t>
  </si>
  <si>
    <t>QNW</t>
  </si>
  <si>
    <t>Km9, Phường Quang Hanh, Thị Xã Cẩm Phả, Tỉnh Quảng Ninh</t>
  </si>
  <si>
    <t>21.0082107, 107.2271147</t>
  </si>
  <si>
    <t>21.0082107</t>
  </si>
  <si>
    <t>107.2271147</t>
  </si>
  <si>
    <t>Nhà máy Suối Mơ</t>
  </si>
  <si>
    <t>SMW</t>
  </si>
  <si>
    <t>Tổ 5, Khu 8, Phường Bãi Cháy, TP. Hạ Long, Tỉnh Quảng Ninh</t>
  </si>
  <si>
    <t>20.9578941, 107.0832118</t>
  </si>
  <si>
    <t>20.9578941</t>
  </si>
  <si>
    <t>107.0832118</t>
  </si>
  <si>
    <t>Nhà máy Hải Dương</t>
  </si>
  <si>
    <t>MHD</t>
  </si>
  <si>
    <t>Lô 22, KCN Đại An, TP. Hải Dương, Tỉnh Hải Dương</t>
  </si>
  <si>
    <t>20.9297632, 106.2669247</t>
  </si>
  <si>
    <t>20.9297632</t>
  </si>
  <si>
    <t>106.2669247</t>
  </si>
  <si>
    <t>Nhà máy gia công MSJ tại MHN</t>
  </si>
  <si>
    <t>MCN</t>
  </si>
  <si>
    <t>Lô CN-02, KCN Đồng Văn IV, Kim Bảng, Hà Nam</t>
  </si>
  <si>
    <t>20.6378553, 105.8885067</t>
  </si>
  <si>
    <t>20.6378553</t>
  </si>
  <si>
    <t>105.8885067</t>
  </si>
  <si>
    <t>Nhà máy sữa Elovi</t>
  </si>
  <si>
    <t>ELO</t>
  </si>
  <si>
    <t>KCN Nam Phổ Yên, Thuận Thành, Phổ Yên, Thái Nguyên</t>
  </si>
  <si>
    <t>21.3340466, 105.8686921</t>
  </si>
  <si>
    <t>21.3340466</t>
  </si>
  <si>
    <t>105.8686921</t>
  </si>
  <si>
    <t>Nhà máy Masan Miền Bắc</t>
  </si>
  <si>
    <t>MMB</t>
  </si>
  <si>
    <t>Khu B, Khu KT Đông Nam, Khu Công nghiệp Nam Cấm, xã Nghi Long, Huyện Nghi Lộc, tỉnh Nghệ An, Việt Nam</t>
  </si>
  <si>
    <t>18.8333799, 105.6571789</t>
  </si>
  <si>
    <t>18.8333799</t>
  </si>
  <si>
    <t>105.6571789</t>
  </si>
  <si>
    <t>Nhà máy Beer Phú Yên</t>
  </si>
  <si>
    <t>PYB</t>
  </si>
  <si>
    <t>Lô A12 - A14 - KCN Hòa Hiệp, Xã Hòa Hiệp Bắc, Huyện Đông Hòa, Tỉnh Phú Yên</t>
  </si>
  <si>
    <t>13.013859, 109.3619624</t>
  </si>
  <si>
    <t>13.013859</t>
  </si>
  <si>
    <t>109.3619624</t>
  </si>
  <si>
    <t>Nhà máy Vĩnh Hảo</t>
  </si>
  <si>
    <t>VHC</t>
  </si>
  <si>
    <t>Thôn Vĩnh Sơn, Xã Vĩnh Hảo, Huyện Tuy Phong, Tỉnh Bình Thuận</t>
  </si>
  <si>
    <t>11.3132444, 108.7534139</t>
  </si>
  <si>
    <t>11.3132444</t>
  </si>
  <si>
    <t>108.7534139</t>
  </si>
  <si>
    <t>Nhà máy Vĩnh Hảo B20L</t>
  </si>
  <si>
    <t>V20</t>
  </si>
  <si>
    <t>Nhà máy VCF Biên Hòa</t>
  </si>
  <si>
    <t>VCF</t>
  </si>
  <si>
    <t>KCN Biên Hòa 1, Phường An Bình, TP. Biên Hòa, Tỉnh Đồng Nai</t>
  </si>
  <si>
    <t>10.921125, 106.8613515</t>
  </si>
  <si>
    <t>10.921125</t>
  </si>
  <si>
    <t>106.8613515</t>
  </si>
  <si>
    <t>Nhà máy VCF Long Thành</t>
  </si>
  <si>
    <t>VLT</t>
  </si>
  <si>
    <t>KCN Long Thành, Xã Tam An, Huyện Long Thành, Tỉnh Đồng Nai</t>
  </si>
  <si>
    <t>10.8312488, 106.935861</t>
  </si>
  <si>
    <t>10.8312488</t>
  </si>
  <si>
    <t>106.935861</t>
  </si>
  <si>
    <t>Nhà máy NET Long Thành</t>
  </si>
  <si>
    <t>Đường D4, KCN Lộc An - Bình Sơn, Xã Bình Sơn, Huyện Long Thành, Tỉnh Đồng Nai</t>
  </si>
  <si>
    <t>10.7948211, 106.9900006</t>
  </si>
  <si>
    <t>10.7948211</t>
  </si>
  <si>
    <t>106.9900006</t>
  </si>
  <si>
    <t>Nhà máy MSI</t>
  </si>
  <si>
    <t>MSI</t>
  </si>
  <si>
    <t>Lô IV, KCN Tân Đông Hiệp A, Phường Tân Đông Hiệp, Dĩ An, Bình Dương</t>
  </si>
  <si>
    <t>10.92273, 106.7878992</t>
  </si>
  <si>
    <t>10.92273</t>
  </si>
  <si>
    <t>106.7878992</t>
  </si>
  <si>
    <t>Nhà máy gia công MSJ tại SNF</t>
  </si>
  <si>
    <t>MSJ</t>
  </si>
  <si>
    <t>Nhà máy Vihawa Sóng Thần</t>
  </si>
  <si>
    <t>SNF</t>
  </si>
  <si>
    <t>Lô K4, Đường số 2, KCN Sóng Thần 2, Dĩ An, Bình Dương</t>
  </si>
  <si>
    <t>10.8798866, 106.7507199</t>
  </si>
  <si>
    <t>10.8798866</t>
  </si>
  <si>
    <t>106.7507199</t>
  </si>
  <si>
    <t>Nhà máy gia công VTF - Vihawa</t>
  </si>
  <si>
    <t>VTF</t>
  </si>
  <si>
    <t>Lô số III-10, Đường số 1, Nhóm CNIII, KCN Tân Bình, P. Tây Thạnh, Quận Tân Phú, TPHCM</t>
  </si>
  <si>
    <t>10.8162555, 106.6251124</t>
  </si>
  <si>
    <t>10.8162555</t>
  </si>
  <si>
    <t>106.6251124</t>
  </si>
  <si>
    <t>Nhà máy gia công Cao Nguyên Xanh</t>
  </si>
  <si>
    <t>CNX</t>
  </si>
  <si>
    <t>Tổ 2, Ấp Phú Lợi, Tân Phú Trung, Củ Chi, TP.HCM</t>
  </si>
  <si>
    <t>10.953763, 106.5476008</t>
  </si>
  <si>
    <t>10.953763</t>
  </si>
  <si>
    <t>106.5476008</t>
  </si>
  <si>
    <t>Nhà máy Gia công Nihon</t>
  </si>
  <si>
    <t>NCP</t>
  </si>
  <si>
    <t>Lô F-5-CN, KCN Mỹ Phước 2, Thị Xã Bến Cát, Bình Dương</t>
  </si>
  <si>
    <t>11.1320152, 106.6306686</t>
  </si>
  <si>
    <t>11.1320152</t>
  </si>
  <si>
    <t>106.6306686</t>
  </si>
  <si>
    <t>Nhà máy Hậu Giang Food</t>
  </si>
  <si>
    <t>MHG</t>
  </si>
  <si>
    <t>KCN Sông Hậu, Xã Đông Phú, Huyện Châu Thành, Hậu Giang</t>
  </si>
  <si>
    <t>9.9610889, 105.8424</t>
  </si>
  <si>
    <t>9.9610889</t>
  </si>
  <si>
    <t>105.8424</t>
  </si>
  <si>
    <t>Nhà máy Hậu Giang Beer</t>
  </si>
  <si>
    <t>HGB</t>
  </si>
  <si>
    <t>Nhà máy Nam Ngư Phú Quốc, Masan Phú Quốc</t>
  </si>
  <si>
    <t>NPQ</t>
  </si>
  <si>
    <t>Tổ 1 Ấp Suối Đá, Xã Dương Tơ, Huyện Phú Quốc, Tỉnh Kiên Giang</t>
  </si>
  <si>
    <t>10.1253417, 103.9956269</t>
  </si>
  <si>
    <t>10.1253417</t>
  </si>
  <si>
    <t>103.9956269</t>
  </si>
  <si>
    <t>Nhà máy Hương Giang Lagi</t>
  </si>
  <si>
    <t>HGC</t>
  </si>
  <si>
    <t>Thôn Bình An 2, Xã Tân Bình, Thị xã La Gi, Tỉnh Bình Thuận, Việt Nam</t>
  </si>
  <si>
    <t>10.6940278, 107.7769455</t>
  </si>
  <si>
    <t>10.6940278</t>
  </si>
  <si>
    <t>107.7769455</t>
  </si>
  <si>
    <t>Nhà máy gia công Deneast</t>
  </si>
  <si>
    <t>DEN</t>
  </si>
  <si>
    <t>Số 7 VSIP II-A, Đường 31, Xã Vĩnh Tân, Thị Xã Tân Uyên, Bình Dương</t>
  </si>
  <si>
    <t>11.1379247, 106.6978593</t>
  </si>
  <si>
    <t>11.1379247</t>
  </si>
  <si>
    <t>106.6978593</t>
  </si>
  <si>
    <t>Nhà máy gia công OCM tại Việt Nam</t>
  </si>
  <si>
    <t>OCM</t>
  </si>
  <si>
    <t>Đức Lập Hạ, Đức Hòa, Long An</t>
  </si>
  <si>
    <t>10.9153529, 106.4409484</t>
  </si>
  <si>
    <t>10.9153529</t>
  </si>
  <si>
    <t>106.4409484</t>
  </si>
  <si>
    <t>Sản phẩm nhập khẩu về tại DC</t>
  </si>
  <si>
    <t>IMP</t>
  </si>
  <si>
    <t>Sản phẩm nhập khẩu từ NCC</t>
  </si>
  <si>
    <t>Nhà máy gia công Aroma</t>
  </si>
  <si>
    <t>ARM</t>
  </si>
  <si>
    <t>Đông Sơn, Huyện Thủy Nguyên, TP Hải Phòng</t>
  </si>
  <si>
    <t>20.9376842, 106.6556575</t>
  </si>
  <si>
    <t>20.9376842</t>
  </si>
  <si>
    <t>106.6556575</t>
  </si>
  <si>
    <t>Nhà máy gia công Godaco Bến Tre</t>
  </si>
  <si>
    <t>BTG</t>
  </si>
  <si>
    <t>Lô A19-20, KCN An Hiệp, xã Tường Đa, huyện Châu Thành, tỉnh Bến Tre</t>
  </si>
  <si>
    <t>10.2797839, 106.3007738</t>
  </si>
  <si>
    <t>10.2797839</t>
  </si>
  <si>
    <t>106.3007738</t>
  </si>
  <si>
    <t>Nhà máy gia công tại Long An</t>
  </si>
  <si>
    <t>LAG</t>
  </si>
  <si>
    <t>10.8104615, 106.4751146</t>
  </si>
  <si>
    <t>10.8104615</t>
  </si>
  <si>
    <t>106.4751146</t>
  </si>
  <si>
    <t xml:space="preserve">Đồng Nai </t>
  </si>
  <si>
    <t>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</si>
</sst>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2" borderId="0" xfId="0" applyFont="1" applyFill="1"/>
    <xf numFmtId="0" fontId="3" fillId="0" borderId="2" xfId="0" applyFont="1" applyBorder="1"/>
    <xf numFmtId="164" fontId="0" fillId="4" borderId="2" xfId="1" applyNumberFormat="1" applyFont="1" applyFill="1" applyBorder="1" applyAlignment="1">
      <alignment horizontal="center" vertical="center"/>
    </xf>
    <xf numFmtId="164" fontId="0" fillId="5" borderId="2" xfId="1" applyNumberFormat="1" applyFont="1" applyFill="1" applyBorder="1" applyAlignment="1">
      <alignment horizontal="center" vertical="center"/>
    </xf>
    <xf numFmtId="164" fontId="0" fillId="6" borderId="2" xfId="1" applyNumberFormat="1" applyFont="1" applyFill="1" applyBorder="1" applyAlignment="1">
      <alignment horizontal="center" vertical="center"/>
    </xf>
    <xf numFmtId="164" fontId="0" fillId="7" borderId="2" xfId="1" applyNumberFormat="1" applyFont="1" applyFill="1" applyBorder="1" applyAlignment="1">
      <alignment horizontal="center" vertical="center"/>
    </xf>
    <xf numFmtId="164" fontId="0" fillId="8" borderId="2" xfId="1" applyNumberFormat="1" applyFont="1" applyFill="1" applyBorder="1" applyAlignment="1">
      <alignment horizontal="center" vertical="center"/>
    </xf>
    <xf numFmtId="164" fontId="0" fillId="9" borderId="2" xfId="1" applyNumberFormat="1" applyFont="1" applyFill="1" applyBorder="1" applyAlignment="1">
      <alignment horizontal="center" vertical="center"/>
    </xf>
    <xf numFmtId="164" fontId="0" fillId="10" borderId="2" xfId="1" applyNumberFormat="1" applyFont="1" applyFill="1" applyBorder="1" applyAlignment="1">
      <alignment horizontal="center" vertical="center"/>
    </xf>
    <xf numFmtId="0" fontId="4" fillId="0" borderId="2" xfId="0" applyFont="1" applyBorder="1"/>
    <xf numFmtId="164" fontId="0" fillId="11" borderId="2" xfId="1" applyNumberFormat="1" applyFont="1" applyFill="1" applyBorder="1" applyAlignment="1">
      <alignment horizontal="center" vertical="center"/>
    </xf>
    <xf numFmtId="164" fontId="0" fillId="12" borderId="2" xfId="1" applyNumberFormat="1" applyFont="1" applyFill="1" applyBorder="1" applyAlignment="1">
      <alignment horizontal="center" vertical="center"/>
    </xf>
    <xf numFmtId="164" fontId="0" fillId="13" borderId="2" xfId="1" applyNumberFormat="1" applyFont="1" applyFill="1" applyBorder="1" applyAlignment="1">
      <alignment horizontal="center" vertical="center"/>
    </xf>
    <xf numFmtId="164" fontId="0" fillId="14" borderId="2" xfId="1" applyNumberFormat="1" applyFont="1" applyFill="1" applyBorder="1" applyAlignment="1">
      <alignment horizontal="center" vertical="center"/>
    </xf>
    <xf numFmtId="164" fontId="0" fillId="15" borderId="2" xfId="1" applyNumberFormat="1" applyFont="1" applyFill="1" applyBorder="1" applyAlignment="1">
      <alignment horizontal="center" vertical="center"/>
    </xf>
    <xf numFmtId="164" fontId="0" fillId="16" borderId="2" xfId="1" applyNumberFormat="1" applyFont="1" applyFill="1" applyBorder="1" applyAlignment="1">
      <alignment horizontal="center" vertical="center"/>
    </xf>
    <xf numFmtId="164" fontId="0" fillId="17" borderId="2" xfId="1" applyNumberFormat="1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 applyAlignment="1">
      <alignment vertical="center"/>
    </xf>
    <xf numFmtId="164" fontId="5" fillId="0" borderId="3" xfId="1" applyNumberFormat="1" applyFont="1" applyBorder="1" applyAlignment="1">
      <alignment vertical="center"/>
    </xf>
    <xf numFmtId="0" fontId="6" fillId="0" borderId="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opLeftCell="A40" zoomScale="115" zoomScaleNormal="115" workbookViewId="0">
      <selection activeCell="C62" sqref="C62"/>
    </sheetView>
  </sheetViews>
  <sheetFormatPr defaultRowHeight="14.5" x14ac:dyDescent="0.35"/>
  <cols>
    <col min="1" max="1" width="17.36328125" bestFit="1" customWidth="1"/>
    <col min="2" max="2" width="15.26953125" bestFit="1" customWidth="1"/>
    <col min="7" max="7" width="22.26953125" bestFit="1" customWidth="1"/>
    <col min="8" max="8" width="19.81640625" bestFit="1" customWidth="1"/>
    <col min="9" max="9" width="4.36328125" bestFit="1" customWidth="1"/>
  </cols>
  <sheetData>
    <row r="1" spans="1:4" x14ac:dyDescent="0.35">
      <c r="A1" s="1" t="s">
        <v>0</v>
      </c>
      <c r="B1" s="4" t="s">
        <v>125</v>
      </c>
      <c r="C1" s="4" t="s">
        <v>248</v>
      </c>
      <c r="D1" s="4" t="s">
        <v>247</v>
      </c>
    </row>
    <row r="2" spans="1:4" x14ac:dyDescent="0.35">
      <c r="A2" s="2" t="s">
        <v>7</v>
      </c>
      <c r="B2" t="s">
        <v>73</v>
      </c>
      <c r="C2" t="str">
        <f>_xlfn.XLOOKUP(A2,Raw!B:B,Raw!A:A)</f>
        <v>TỈNH BÌNH DƯƠNG</v>
      </c>
      <c r="D2">
        <f>_xlfn.XLOOKUP(A2,Raw!B:B,Raw!C:C)</f>
        <v>11</v>
      </c>
    </row>
    <row r="3" spans="1:4" x14ac:dyDescent="0.35">
      <c r="A3" s="3" t="s">
        <v>9</v>
      </c>
      <c r="B3" t="s">
        <v>74</v>
      </c>
      <c r="C3" t="str">
        <f>_xlfn.XLOOKUP(A3,Raw!B:B,Raw!A:A)</f>
        <v>TỈNH NINH THUẬN</v>
      </c>
      <c r="D3">
        <f>_xlfn.XLOOKUP(A3,Raw!B:B,Raw!C:C)</f>
        <v>10</v>
      </c>
    </row>
    <row r="4" spans="1:4" x14ac:dyDescent="0.35">
      <c r="A4" s="2" t="s">
        <v>11</v>
      </c>
      <c r="B4" t="s">
        <v>75</v>
      </c>
      <c r="C4" t="str">
        <f>_xlfn.XLOOKUP(A4,Raw!B:B,Raw!A:A)</f>
        <v>TỈNH ĐỒNG NAI</v>
      </c>
      <c r="D4">
        <f>_xlfn.XLOOKUP(A4,Raw!B:B,Raw!C:C)</f>
        <v>12</v>
      </c>
    </row>
    <row r="5" spans="1:4" x14ac:dyDescent="0.35">
      <c r="A5" s="3" t="s">
        <v>12</v>
      </c>
      <c r="B5" t="s">
        <v>76</v>
      </c>
      <c r="C5" t="str">
        <f>_xlfn.XLOOKUP(A5,Raw!B:B,Raw!A:A)</f>
        <v>TỈNH TÂY NINH</v>
      </c>
      <c r="D5">
        <f>_xlfn.XLOOKUP(A5,Raw!B:B,Raw!C:C)</f>
        <v>11</v>
      </c>
    </row>
    <row r="6" spans="1:4" x14ac:dyDescent="0.35">
      <c r="A6" s="2" t="s">
        <v>13</v>
      </c>
      <c r="B6" t="s">
        <v>77</v>
      </c>
      <c r="C6" t="str">
        <f>_xlfn.XLOOKUP(A6,Raw!B:B,Raw!A:A)</f>
        <v>TỈNH LÂM ĐỒNG</v>
      </c>
      <c r="D6">
        <f>_xlfn.XLOOKUP(A6,Raw!B:B,Raw!C:C)</f>
        <v>9</v>
      </c>
    </row>
    <row r="7" spans="1:4" x14ac:dyDescent="0.35">
      <c r="A7" s="3" t="s">
        <v>14</v>
      </c>
      <c r="B7" t="s">
        <v>78</v>
      </c>
      <c r="C7" t="str">
        <f>_xlfn.XLOOKUP(A7,Raw!B:B,Raw!A:A)</f>
        <v>TỈNH BÀ RỊA - VŨNG TÀU</v>
      </c>
      <c r="D7">
        <f>_xlfn.XLOOKUP(A7,Raw!B:B,Raw!C:C)</f>
        <v>12</v>
      </c>
    </row>
    <row r="8" spans="1:4" x14ac:dyDescent="0.35">
      <c r="A8" s="2" t="s">
        <v>15</v>
      </c>
      <c r="B8" t="s">
        <v>79</v>
      </c>
      <c r="C8" t="str">
        <f>_xlfn.XLOOKUP(A8,Raw!B:B,Raw!A:A)</f>
        <v>TỈNH BÌNH PHƯỚC</v>
      </c>
      <c r="D8">
        <f>_xlfn.XLOOKUP(A8,Raw!B:B,Raw!C:C)</f>
        <v>11</v>
      </c>
    </row>
    <row r="9" spans="1:4" x14ac:dyDescent="0.35">
      <c r="A9" s="3" t="s">
        <v>16</v>
      </c>
      <c r="B9" t="s">
        <v>80</v>
      </c>
      <c r="C9" t="str">
        <f>_xlfn.XLOOKUP(A9,Raw!B:B,Raw!A:A)</f>
        <v>TỈNH BÌNH THUẬN</v>
      </c>
      <c r="D9">
        <f>_xlfn.XLOOKUP(A9,Raw!B:B,Raw!C:C)</f>
        <v>10</v>
      </c>
    </row>
    <row r="10" spans="1:4" x14ac:dyDescent="0.35">
      <c r="A10" s="2" t="s">
        <v>8</v>
      </c>
      <c r="B10" t="s">
        <v>81</v>
      </c>
      <c r="C10" t="str">
        <f>_xlfn.XLOOKUP(A10,Raw!B:B,Raw!A:A)</f>
        <v>TP. HỒ CHÍ MINH</v>
      </c>
      <c r="D10">
        <f>_xlfn.XLOOKUP(A10,Raw!B:B,Raw!C:C)</f>
        <v>11</v>
      </c>
    </row>
    <row r="11" spans="1:4" x14ac:dyDescent="0.35">
      <c r="A11" s="3" t="s">
        <v>10</v>
      </c>
      <c r="B11" t="s">
        <v>82</v>
      </c>
      <c r="C11" t="str">
        <f>_xlfn.XLOOKUP(A11,Raw!B:B,Raw!A:A)</f>
        <v>TỈNH KHÁNH HÒA</v>
      </c>
      <c r="D11">
        <f>_xlfn.XLOOKUP(A11,Raw!B:B,Raw!C:C)</f>
        <v>10</v>
      </c>
    </row>
    <row r="12" spans="1:4" x14ac:dyDescent="0.35">
      <c r="A12" s="3" t="s">
        <v>18</v>
      </c>
      <c r="B12" t="s">
        <v>83</v>
      </c>
      <c r="C12" t="str">
        <f>_xlfn.XLOOKUP(A12,Raw!B:B,Raw!A:A)</f>
        <v>TỈNH PHÚ YÊN</v>
      </c>
      <c r="D12">
        <f>_xlfn.XLOOKUP(A12,Raw!B:B,Raw!C:C)</f>
        <v>8</v>
      </c>
    </row>
    <row r="13" spans="1:4" x14ac:dyDescent="0.35">
      <c r="A13" s="3" t="s">
        <v>21</v>
      </c>
      <c r="B13" t="s">
        <v>85</v>
      </c>
      <c r="C13" t="str">
        <f>_xlfn.XLOOKUP(A13,Raw!B:B,Raw!A:A)</f>
        <v>TỈNH BÌNH ĐỊNH</v>
      </c>
      <c r="D13">
        <f>_xlfn.XLOOKUP(A13,Raw!B:B,Raw!C:C)</f>
        <v>8</v>
      </c>
    </row>
    <row r="14" spans="1:4" x14ac:dyDescent="0.35">
      <c r="A14" s="2" t="s">
        <v>40</v>
      </c>
      <c r="B14" t="s">
        <v>64</v>
      </c>
      <c r="C14" t="str">
        <f>_xlfn.XLOOKUP(A14,Raw!B:B,Raw!A:A)</f>
        <v>TỈNH LONG AN</v>
      </c>
      <c r="D14">
        <f>_xlfn.XLOOKUP(A14,Raw!B:B,Raw!C:C)</f>
        <v>13</v>
      </c>
    </row>
    <row r="15" spans="1:4" x14ac:dyDescent="0.35">
      <c r="A15" s="2" t="s">
        <v>43</v>
      </c>
      <c r="B15" t="s">
        <v>101</v>
      </c>
      <c r="C15" t="str">
        <f>_xlfn.XLOOKUP(A15,Raw!B:B,Raw!A:A)</f>
        <v>TỈNH TIỀN GIANG</v>
      </c>
      <c r="D15">
        <f>_xlfn.XLOOKUP(A15,Raw!B:B,Raw!C:C)</f>
        <v>13</v>
      </c>
    </row>
    <row r="16" spans="1:4" x14ac:dyDescent="0.35">
      <c r="A16" s="2" t="s">
        <v>19</v>
      </c>
      <c r="B16" t="s">
        <v>120</v>
      </c>
      <c r="C16" t="str">
        <f>_xlfn.XLOOKUP(A16,Raw!B:B,Raw!A:A)</f>
        <v>TỈNH ĐẮK LẮK</v>
      </c>
      <c r="D16">
        <f>_xlfn.XLOOKUP(A16,Raw!B:B,Raw!C:C)</f>
        <v>9</v>
      </c>
    </row>
    <row r="17" spans="1:4" x14ac:dyDescent="0.35">
      <c r="A17" s="3" t="s">
        <v>32</v>
      </c>
      <c r="B17" t="s">
        <v>121</v>
      </c>
      <c r="C17" t="str">
        <f>_xlfn.XLOOKUP(A17,Raw!B:B,Raw!A:A)</f>
        <v>TP. CẦN THƠ</v>
      </c>
      <c r="D17">
        <f>_xlfn.XLOOKUP(A17,Raw!B:B,Raw!C:C)</f>
        <v>14</v>
      </c>
    </row>
    <row r="18" spans="1:4" x14ac:dyDescent="0.35">
      <c r="A18" s="2" t="s">
        <v>33</v>
      </c>
      <c r="B18" t="s">
        <v>63</v>
      </c>
      <c r="C18" t="str">
        <f>_xlfn.XLOOKUP(A18,Raw!B:B,Raw!A:A)</f>
        <v>TỈNH AN GIANG</v>
      </c>
      <c r="D18">
        <f>_xlfn.XLOOKUP(A18,Raw!B:B,Raw!C:C)</f>
        <v>14</v>
      </c>
    </row>
    <row r="19" spans="1:4" x14ac:dyDescent="0.35">
      <c r="A19" s="3" t="s">
        <v>34</v>
      </c>
      <c r="B19" t="s">
        <v>93</v>
      </c>
      <c r="C19" t="str">
        <f>_xlfn.XLOOKUP(A19,Raw!B:B,Raw!A:A)</f>
        <v>TỈNH BẠC LIÊU</v>
      </c>
      <c r="D19">
        <f>_xlfn.XLOOKUP(A19,Raw!B:B,Raw!C:C)</f>
        <v>14</v>
      </c>
    </row>
    <row r="20" spans="1:4" x14ac:dyDescent="0.35">
      <c r="A20" s="2" t="s">
        <v>36</v>
      </c>
      <c r="B20" t="s">
        <v>94</v>
      </c>
      <c r="C20" t="str">
        <f>_xlfn.XLOOKUP(A20,Raw!B:B,Raw!A:A)</f>
        <v>TỈNH TRÀ VINH</v>
      </c>
      <c r="D20">
        <f>_xlfn.XLOOKUP(A20,Raw!B:B,Raw!C:C)</f>
        <v>13</v>
      </c>
    </row>
    <row r="21" spans="1:4" x14ac:dyDescent="0.35">
      <c r="A21" s="3" t="s">
        <v>37</v>
      </c>
      <c r="B21" t="s">
        <v>95</v>
      </c>
      <c r="C21" t="str">
        <f>_xlfn.XLOOKUP(A21,Raw!B:B,Raw!A:A)</f>
        <v>TỈNH VĨNH LONG</v>
      </c>
      <c r="D21">
        <f>_xlfn.XLOOKUP(A21,Raw!B:B,Raw!C:C)</f>
        <v>13</v>
      </c>
    </row>
    <row r="22" spans="1:4" x14ac:dyDescent="0.35">
      <c r="A22" s="2" t="s">
        <v>38</v>
      </c>
      <c r="B22" t="s">
        <v>96</v>
      </c>
      <c r="C22" t="str">
        <f>_xlfn.XLOOKUP(A22,Raw!B:B,Raw!A:A)</f>
        <v>TỈNH KIÊN GIANG</v>
      </c>
      <c r="D22">
        <f>_xlfn.XLOOKUP(A22,Raw!B:B,Raw!C:C)</f>
        <v>14</v>
      </c>
    </row>
    <row r="23" spans="1:4" x14ac:dyDescent="0.35">
      <c r="A23" s="3" t="s">
        <v>39</v>
      </c>
      <c r="B23" t="s">
        <v>97</v>
      </c>
      <c r="C23" t="str">
        <f>_xlfn.XLOOKUP(A23,Raw!B:B,Raw!A:A)</f>
        <v>TỈNH HẬU GIANG</v>
      </c>
      <c r="D23">
        <f>_xlfn.XLOOKUP(A23,Raw!B:B,Raw!C:C)</f>
        <v>14</v>
      </c>
    </row>
    <row r="24" spans="1:4" x14ac:dyDescent="0.35">
      <c r="A24" s="3" t="s">
        <v>41</v>
      </c>
      <c r="B24" t="s">
        <v>98</v>
      </c>
      <c r="C24" t="str">
        <f>_xlfn.XLOOKUP(A24,Raw!B:B,Raw!A:A)</f>
        <v>TỈNH ĐỒNG THÁP</v>
      </c>
      <c r="D24">
        <f>_xlfn.XLOOKUP(A24,Raw!B:B,Raw!C:C)</f>
        <v>13</v>
      </c>
    </row>
    <row r="25" spans="1:4" x14ac:dyDescent="0.35">
      <c r="A25" s="2" t="s">
        <v>42</v>
      </c>
      <c r="B25" t="s">
        <v>99</v>
      </c>
      <c r="C25" t="str">
        <f>_xlfn.XLOOKUP(A25,Raw!B:B,Raw!A:A)</f>
        <v>TỈNH SÓC TRĂNG</v>
      </c>
      <c r="D25">
        <f>_xlfn.XLOOKUP(A25,Raw!B:B,Raw!C:C)</f>
        <v>14</v>
      </c>
    </row>
    <row r="26" spans="1:4" x14ac:dyDescent="0.35">
      <c r="A26" s="3" t="s">
        <v>35</v>
      </c>
      <c r="B26" t="s">
        <v>100</v>
      </c>
      <c r="C26" t="str">
        <f>_xlfn.XLOOKUP(A26,Raw!B:B,Raw!A:A)</f>
        <v>TỈNH CÀ MAU</v>
      </c>
      <c r="D26">
        <f>_xlfn.XLOOKUP(A26,Raw!B:B,Raw!C:C)</f>
        <v>14</v>
      </c>
    </row>
    <row r="27" spans="1:4" x14ac:dyDescent="0.35">
      <c r="A27" s="3" t="s">
        <v>44</v>
      </c>
      <c r="B27" t="s">
        <v>102</v>
      </c>
      <c r="C27" t="str">
        <f>_xlfn.XLOOKUP(A27,Raw!B:B,Raw!A:A)</f>
        <v>TỈNH BẾN TRE</v>
      </c>
      <c r="D27">
        <f>_xlfn.XLOOKUP(A27,Raw!B:B,Raw!C:C)</f>
        <v>13</v>
      </c>
    </row>
    <row r="28" spans="1:4" x14ac:dyDescent="0.35">
      <c r="A28" s="3" t="s">
        <v>5</v>
      </c>
      <c r="B28" t="s">
        <v>70</v>
      </c>
      <c r="C28" t="str">
        <f>_xlfn.XLOOKUP(A28,Raw!B:B,Raw!A:A)</f>
        <v>TỈNH THỪA THIÊN HUẾ</v>
      </c>
      <c r="D28">
        <f>_xlfn.XLOOKUP(A28,Raw!B:B,Raw!C:C)</f>
        <v>7</v>
      </c>
    </row>
    <row r="29" spans="1:4" x14ac:dyDescent="0.35">
      <c r="A29" s="3" t="s">
        <v>4</v>
      </c>
      <c r="B29" t="s">
        <v>72</v>
      </c>
      <c r="C29" t="str">
        <f>_xlfn.XLOOKUP(A29,Raw!B:B,Raw!A:A)</f>
        <v>TỈNH QUẢNG TRỊ</v>
      </c>
      <c r="D29">
        <f>_xlfn.XLOOKUP(A29,Raw!B:B,Raw!C:C)</f>
        <v>7</v>
      </c>
    </row>
    <row r="30" spans="1:4" x14ac:dyDescent="0.35">
      <c r="A30" s="2" t="s">
        <v>17</v>
      </c>
      <c r="B30" t="s">
        <v>122</v>
      </c>
      <c r="C30" t="str">
        <f>_xlfn.XLOOKUP(A30,Raw!B:B,Raw!A:A)</f>
        <v>TP. ĐÀ NẴNG</v>
      </c>
      <c r="D30">
        <f>_xlfn.XLOOKUP(A30,Raw!B:B,Raw!C:C)</f>
        <v>7</v>
      </c>
    </row>
    <row r="31" spans="1:4" x14ac:dyDescent="0.35">
      <c r="A31" s="2" t="s">
        <v>20</v>
      </c>
      <c r="B31" t="s">
        <v>84</v>
      </c>
      <c r="C31" t="str">
        <f>_xlfn.XLOOKUP(A31,Raw!B:B,Raw!A:A)</f>
        <v>TỈNH QUẢNG NGÃI</v>
      </c>
      <c r="D31">
        <f>_xlfn.XLOOKUP(A31,Raw!B:B,Raw!C:C)</f>
        <v>7</v>
      </c>
    </row>
    <row r="32" spans="1:4" x14ac:dyDescent="0.35">
      <c r="A32" s="2" t="s">
        <v>23</v>
      </c>
      <c r="B32" t="s">
        <v>86</v>
      </c>
      <c r="C32" t="str">
        <f>_xlfn.XLOOKUP(A32,Raw!B:B,Raw!A:A)</f>
        <v>TỈNH QUẢNG NAM</v>
      </c>
      <c r="D32">
        <f>_xlfn.XLOOKUP(A32,Raw!B:B,Raw!C:C)</f>
        <v>7</v>
      </c>
    </row>
    <row r="33" spans="1:4" x14ac:dyDescent="0.35">
      <c r="A33" s="3" t="s">
        <v>22</v>
      </c>
      <c r="B33" t="s">
        <v>65</v>
      </c>
      <c r="C33" t="str">
        <f>_xlfn.XLOOKUP(A33,Raw!B:B,Raw!A:A)</f>
        <v>TỈNH GIA LAI</v>
      </c>
      <c r="D33">
        <f>_xlfn.XLOOKUP(A33,Raw!B:B,Raw!C:C)</f>
        <v>8</v>
      </c>
    </row>
    <row r="34" spans="1:4" x14ac:dyDescent="0.35">
      <c r="A34" s="3" t="s">
        <v>62</v>
      </c>
      <c r="B34" t="s">
        <v>66</v>
      </c>
      <c r="C34" t="str">
        <f>_xlfn.XLOOKUP(A34,Raw!B:B,Raw!A:A)</f>
        <v>TỈNH KON TUM</v>
      </c>
      <c r="D34">
        <f>_xlfn.XLOOKUP(A34,Raw!B:B,Raw!C:C)</f>
        <v>8</v>
      </c>
    </row>
    <row r="35" spans="1:4" x14ac:dyDescent="0.35">
      <c r="A35" s="2" t="s">
        <v>25</v>
      </c>
      <c r="B35" t="s">
        <v>87</v>
      </c>
      <c r="C35" t="str">
        <f>_xlfn.XLOOKUP(A35,Raw!B:B,Raw!A:A)</f>
        <v>TỈNH NINH BÌNH</v>
      </c>
      <c r="D35">
        <f>_xlfn.XLOOKUP(A35,Raw!B:B,Raw!C:C)</f>
        <v>5</v>
      </c>
    </row>
    <row r="36" spans="1:4" x14ac:dyDescent="0.35">
      <c r="A36" s="3" t="s">
        <v>26</v>
      </c>
      <c r="B36" t="s">
        <v>124</v>
      </c>
      <c r="C36" t="str">
        <f>_xlfn.XLOOKUP(A36,Raw!B:B,Raw!A:A)</f>
        <v>TP. HẢI PHÒNG</v>
      </c>
      <c r="D36">
        <f>_xlfn.XLOOKUP(A36,Raw!B:B,Raw!C:C)</f>
        <v>2</v>
      </c>
    </row>
    <row r="37" spans="1:4" x14ac:dyDescent="0.35">
      <c r="A37" s="2" t="s">
        <v>27</v>
      </c>
      <c r="B37" t="s">
        <v>88</v>
      </c>
      <c r="C37" t="str">
        <f>_xlfn.XLOOKUP(A37,Raw!B:B,Raw!A:A)</f>
        <v>TỈNH THÁI BÌNH</v>
      </c>
      <c r="D37">
        <f>_xlfn.XLOOKUP(A37,Raw!B:B,Raw!C:C)</f>
        <v>2</v>
      </c>
    </row>
    <row r="38" spans="1:4" x14ac:dyDescent="0.35">
      <c r="A38" s="3" t="s">
        <v>29</v>
      </c>
      <c r="B38" t="s">
        <v>89</v>
      </c>
      <c r="C38" t="str">
        <f>_xlfn.XLOOKUP(A38,Raw!B:B,Raw!A:A)</f>
        <v>TỈNH HẢI DƯƠNG</v>
      </c>
      <c r="D38">
        <f>_xlfn.XLOOKUP(A38,Raw!B:B,Raw!C:C)</f>
        <v>3</v>
      </c>
    </row>
    <row r="39" spans="1:4" x14ac:dyDescent="0.35">
      <c r="A39" s="2" t="s">
        <v>31</v>
      </c>
      <c r="B39" t="s">
        <v>92</v>
      </c>
      <c r="C39" t="str">
        <f>_xlfn.XLOOKUP(A39,Raw!B:B,Raw!A:A)</f>
        <v>TỈNH NAM ĐỊNH</v>
      </c>
      <c r="D39">
        <f>_xlfn.XLOOKUP(A39,Raw!B:B,Raw!C:C)</f>
        <v>4</v>
      </c>
    </row>
    <row r="40" spans="1:4" x14ac:dyDescent="0.35">
      <c r="A40" s="2" t="s">
        <v>45</v>
      </c>
      <c r="B40" t="s">
        <v>103</v>
      </c>
      <c r="C40" t="str">
        <f>_xlfn.XLOOKUP(A40,Raw!B:B,Raw!A:A)</f>
        <v>TỈNH QUẢNG NINH</v>
      </c>
      <c r="D40">
        <f>_xlfn.XLOOKUP(A40,Raw!B:B,Raw!C:C)</f>
        <v>2</v>
      </c>
    </row>
    <row r="41" spans="1:4" x14ac:dyDescent="0.35">
      <c r="A41" s="3" t="s">
        <v>24</v>
      </c>
      <c r="B41" t="s">
        <v>123</v>
      </c>
      <c r="C41" t="str">
        <f>_xlfn.XLOOKUP(A41,Raw!B:B,Raw!A:A)</f>
        <v>TP. HÀ NỘI</v>
      </c>
      <c r="D41">
        <f>_xlfn.XLOOKUP(A41,Raw!B:B,Raw!C:C)</f>
        <v>4</v>
      </c>
    </row>
    <row r="42" spans="1:4" x14ac:dyDescent="0.35">
      <c r="A42" s="2" t="s">
        <v>30</v>
      </c>
      <c r="B42" t="s">
        <v>90</v>
      </c>
      <c r="C42" t="str">
        <f>_xlfn.XLOOKUP(A42,Raw!B:B,Raw!A:A)</f>
        <v>TỈNH HÀ NAM</v>
      </c>
      <c r="D42">
        <f>_xlfn.XLOOKUP(A42,Raw!B:B,Raw!C:C)</f>
        <v>4</v>
      </c>
    </row>
    <row r="43" spans="1:4" x14ac:dyDescent="0.35">
      <c r="A43" s="3" t="s">
        <v>28</v>
      </c>
      <c r="B43" t="s">
        <v>91</v>
      </c>
      <c r="C43" t="str">
        <f>_xlfn.XLOOKUP(A43,Raw!B:B,Raw!A:A)</f>
        <v>TỈNH HƯNG YÊN</v>
      </c>
      <c r="D43">
        <f>_xlfn.XLOOKUP(A43,Raw!B:B,Raw!C:C)</f>
        <v>4</v>
      </c>
    </row>
    <row r="44" spans="1:4" x14ac:dyDescent="0.35">
      <c r="A44" s="3" t="s">
        <v>46</v>
      </c>
      <c r="B44" t="s">
        <v>104</v>
      </c>
      <c r="C44" t="str">
        <f>_xlfn.XLOOKUP(A44,Raw!B:B,Raw!A:A)</f>
        <v>TỈNH PHÚ THỌ</v>
      </c>
      <c r="D44">
        <f>_xlfn.XLOOKUP(A44,Raw!B:B,Raw!C:C)</f>
        <v>4</v>
      </c>
    </row>
    <row r="45" spans="1:4" x14ac:dyDescent="0.35">
      <c r="A45" s="2" t="s">
        <v>47</v>
      </c>
      <c r="B45" t="s">
        <v>105</v>
      </c>
      <c r="C45" t="str">
        <f>_xlfn.XLOOKUP(A45,Raw!B:B,Raw!A:A)</f>
        <v>TỈNH YÊN BÁI</v>
      </c>
      <c r="D45">
        <f>_xlfn.XLOOKUP(A45,Raw!B:B,Raw!C:C)</f>
        <v>1</v>
      </c>
    </row>
    <row r="46" spans="1:4" x14ac:dyDescent="0.35">
      <c r="A46" s="3" t="s">
        <v>49</v>
      </c>
      <c r="B46" t="s">
        <v>106</v>
      </c>
      <c r="C46" t="str">
        <f>_xlfn.XLOOKUP(A46,Raw!B:B,Raw!A:A)</f>
        <v>TỈNH TUYÊN QUANG</v>
      </c>
      <c r="D46">
        <f>_xlfn.XLOOKUP(A46,Raw!B:B,Raw!C:C)</f>
        <v>1</v>
      </c>
    </row>
    <row r="47" spans="1:4" x14ac:dyDescent="0.35">
      <c r="A47" s="2" t="s">
        <v>50</v>
      </c>
      <c r="B47" t="s">
        <v>107</v>
      </c>
      <c r="C47" t="str">
        <f>_xlfn.XLOOKUP(A47,Raw!B:B,Raw!A:A)</f>
        <v>TỈNH SƠN LA</v>
      </c>
      <c r="D47">
        <f>_xlfn.XLOOKUP(A47,Raw!B:B,Raw!C:C)</f>
        <v>1</v>
      </c>
    </row>
    <row r="48" spans="1:4" x14ac:dyDescent="0.35">
      <c r="A48" s="3" t="s">
        <v>51</v>
      </c>
      <c r="B48" t="s">
        <v>108</v>
      </c>
      <c r="C48" t="str">
        <f>_xlfn.XLOOKUP(A48,Raw!B:B,Raw!A:A)</f>
        <v>TỈNH THÁI NGUYÊN</v>
      </c>
      <c r="D48">
        <f>_xlfn.XLOOKUP(A48,Raw!B:B,Raw!C:C)</f>
        <v>3</v>
      </c>
    </row>
    <row r="49" spans="1:4" x14ac:dyDescent="0.35">
      <c r="A49" s="2" t="s">
        <v>52</v>
      </c>
      <c r="B49" t="s">
        <v>109</v>
      </c>
      <c r="C49" t="str">
        <f>_xlfn.XLOOKUP(A49,Raw!B:B,Raw!A:A)</f>
        <v>TỈNH LẠNG SƠN</v>
      </c>
      <c r="D49">
        <f>_xlfn.XLOOKUP(A49,Raw!B:B,Raw!C:C)</f>
        <v>2</v>
      </c>
    </row>
    <row r="50" spans="1:4" x14ac:dyDescent="0.35">
      <c r="A50" s="3" t="s">
        <v>53</v>
      </c>
      <c r="B50" t="s">
        <v>110</v>
      </c>
      <c r="C50" t="str">
        <f>_xlfn.XLOOKUP(A50,Raw!B:B,Raw!A:A)</f>
        <v>TỈNH BẮC NINH</v>
      </c>
      <c r="D50">
        <f>_xlfn.XLOOKUP(A50,Raw!B:B,Raw!C:C)</f>
        <v>3</v>
      </c>
    </row>
    <row r="51" spans="1:4" x14ac:dyDescent="0.35">
      <c r="A51" s="2" t="s">
        <v>54</v>
      </c>
      <c r="B51" t="s">
        <v>111</v>
      </c>
      <c r="C51" t="str">
        <f>_xlfn.XLOOKUP(A51,Raw!B:B,Raw!A:A)</f>
        <v>TỈNH HÒA BÌNH</v>
      </c>
      <c r="D51">
        <f>_xlfn.XLOOKUP(A51,Raw!B:B,Raw!C:C)</f>
        <v>5</v>
      </c>
    </row>
    <row r="52" spans="1:4" x14ac:dyDescent="0.35">
      <c r="A52" s="3" t="s">
        <v>55</v>
      </c>
      <c r="B52" t="s">
        <v>112</v>
      </c>
      <c r="C52" t="str">
        <f>_xlfn.XLOOKUP(A52,Raw!B:B,Raw!A:A)</f>
        <v>TỈNH BẮC KẠN</v>
      </c>
      <c r="D52">
        <f>_xlfn.XLOOKUP(A52,Raw!B:B,Raw!C:C)</f>
        <v>2</v>
      </c>
    </row>
    <row r="53" spans="1:4" x14ac:dyDescent="0.35">
      <c r="A53" s="2" t="s">
        <v>56</v>
      </c>
      <c r="B53" t="s">
        <v>113</v>
      </c>
      <c r="C53" t="str">
        <f>_xlfn.XLOOKUP(A53,Raw!B:B,Raw!A:A)</f>
        <v>TỈNH LAI CHÂU</v>
      </c>
      <c r="D53">
        <f>_xlfn.XLOOKUP(A53,Raw!B:B,Raw!C:C)</f>
        <v>1</v>
      </c>
    </row>
    <row r="54" spans="1:4" x14ac:dyDescent="0.35">
      <c r="A54" s="3" t="s">
        <v>57</v>
      </c>
      <c r="B54" t="s">
        <v>114</v>
      </c>
      <c r="C54" t="str">
        <f>_xlfn.XLOOKUP(A54,Raw!B:B,Raw!A:A)</f>
        <v>TỈNH VĨNH PHÚC</v>
      </c>
      <c r="D54">
        <f>_xlfn.XLOOKUP(A54,Raw!B:B,Raw!C:C)</f>
        <v>4</v>
      </c>
    </row>
    <row r="55" spans="1:4" x14ac:dyDescent="0.35">
      <c r="A55" s="2" t="s">
        <v>58</v>
      </c>
      <c r="B55" t="s">
        <v>115</v>
      </c>
      <c r="C55" t="str">
        <f>_xlfn.XLOOKUP(A55,Raw!B:B,Raw!A:A)</f>
        <v>TỈNH BẮC GIANG</v>
      </c>
      <c r="D55">
        <f>_xlfn.XLOOKUP(A55,Raw!B:B,Raw!C:C)</f>
        <v>3</v>
      </c>
    </row>
    <row r="56" spans="1:4" x14ac:dyDescent="0.35">
      <c r="A56" s="3" t="s">
        <v>48</v>
      </c>
      <c r="B56" t="s">
        <v>116</v>
      </c>
      <c r="C56" t="str">
        <f>_xlfn.XLOOKUP(A56,Raw!B:B,Raw!A:A)</f>
        <v>TỈNH LÀO CAI</v>
      </c>
      <c r="D56">
        <f>_xlfn.XLOOKUP(A56,Raw!B:B,Raw!C:C)</f>
        <v>1</v>
      </c>
    </row>
    <row r="57" spans="1:4" x14ac:dyDescent="0.35">
      <c r="A57" s="2" t="s">
        <v>59</v>
      </c>
      <c r="B57" t="s">
        <v>117</v>
      </c>
      <c r="C57" t="str">
        <f>_xlfn.XLOOKUP(A57,Raw!B:B,Raw!A:A)</f>
        <v>TỈNH HÀ GIANG</v>
      </c>
      <c r="D57">
        <f>_xlfn.XLOOKUP(A57,Raw!B:B,Raw!C:C)</f>
        <v>1</v>
      </c>
    </row>
    <row r="58" spans="1:4" x14ac:dyDescent="0.35">
      <c r="A58" s="3" t="s">
        <v>60</v>
      </c>
      <c r="B58" t="s">
        <v>118</v>
      </c>
      <c r="C58" t="str">
        <f>_xlfn.XLOOKUP(A58,Raw!B:B,Raw!A:A)</f>
        <v>TỈNH CAO BẰNG</v>
      </c>
      <c r="D58">
        <f>_xlfn.XLOOKUP(A58,Raw!B:B,Raw!C:C)</f>
        <v>2</v>
      </c>
    </row>
    <row r="59" spans="1:4" x14ac:dyDescent="0.35">
      <c r="A59" s="2" t="s">
        <v>61</v>
      </c>
      <c r="B59" t="s">
        <v>119</v>
      </c>
      <c r="C59" t="str">
        <f>_xlfn.XLOOKUP(A59,Raw!B:B,Raw!A:A)</f>
        <v>TỈNH ĐIỆN BIÊN</v>
      </c>
      <c r="D59">
        <f>_xlfn.XLOOKUP(A59,Raw!B:B,Raw!C:C)</f>
        <v>1</v>
      </c>
    </row>
    <row r="60" spans="1:4" x14ac:dyDescent="0.35">
      <c r="A60" s="2" t="s">
        <v>1</v>
      </c>
      <c r="B60" t="s">
        <v>67</v>
      </c>
      <c r="C60" t="str">
        <f>_xlfn.XLOOKUP(A60,Raw!B:B,Raw!A:A)</f>
        <v>TỈNH THANH HÓA</v>
      </c>
      <c r="D60">
        <f>_xlfn.XLOOKUP(A60,Raw!B:B,Raw!C:C)</f>
        <v>5</v>
      </c>
    </row>
    <row r="61" spans="1:4" x14ac:dyDescent="0.35">
      <c r="A61" s="3" t="s">
        <v>2</v>
      </c>
      <c r="B61" t="s">
        <v>68</v>
      </c>
      <c r="C61" t="str">
        <f>_xlfn.XLOOKUP(A61,Raw!B:B,Raw!A:A)</f>
        <v>TỈNH HÀ TĨNH</v>
      </c>
      <c r="D61">
        <f>_xlfn.XLOOKUP(A61,Raw!B:B,Raw!C:C)</f>
        <v>6</v>
      </c>
    </row>
    <row r="62" spans="1:4" x14ac:dyDescent="0.35">
      <c r="A62" s="2" t="s">
        <v>3</v>
      </c>
      <c r="B62" t="s">
        <v>69</v>
      </c>
      <c r="C62" t="str">
        <f>_xlfn.XLOOKUP(A62,Raw!B:B,Raw!A:A)</f>
        <v>TỈNH QUẢNG BÌNH</v>
      </c>
      <c r="D62">
        <f>_xlfn.XLOOKUP(A62,Raw!B:B,Raw!C:C)</f>
        <v>6</v>
      </c>
    </row>
    <row r="63" spans="1:4" x14ac:dyDescent="0.35">
      <c r="A63" s="2" t="s">
        <v>6</v>
      </c>
      <c r="B63" t="s">
        <v>71</v>
      </c>
      <c r="C63" t="str">
        <f>_xlfn.XLOOKUP(A63,Raw!B:B,Raw!A:A)</f>
        <v>TỈNH NGHỆ AN</v>
      </c>
      <c r="D63">
        <f>_xlfn.XLOOKUP(A63,Raw!B:B,Raw!C:C)</f>
        <v>6</v>
      </c>
    </row>
    <row r="64" spans="1:4" x14ac:dyDescent="0.35">
      <c r="A64" s="2" t="s">
        <v>208</v>
      </c>
      <c r="B64" t="s">
        <v>249</v>
      </c>
      <c r="C64" t="str">
        <f>_xlfn.XLOOKUP(A64,Raw!B:B,Raw!A:A)</f>
        <v>TỈNH ĐẮK NÔNG</v>
      </c>
      <c r="D64">
        <f>_xlfn.XLOOKUP(A64,Raw!B:B,Raw!C:C)</f>
        <v>9</v>
      </c>
    </row>
  </sheetData>
  <autoFilter ref="A1:B63" xr:uid="{00000000-0001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313E-4D21-40CA-89A2-E937E401BC57}">
  <dimension ref="A1:L54"/>
  <sheetViews>
    <sheetView tabSelected="1" workbookViewId="0">
      <selection activeCell="K1" sqref="K1:L1"/>
    </sheetView>
  </sheetViews>
  <sheetFormatPr defaultRowHeight="14.5" x14ac:dyDescent="0.35"/>
  <cols>
    <col min="1" max="1" width="7.7265625" bestFit="1" customWidth="1"/>
    <col min="2" max="2" width="17.81640625" bestFit="1" customWidth="1"/>
    <col min="3" max="3" width="33.81640625" bestFit="1" customWidth="1"/>
    <col min="4" max="4" width="15" bestFit="1" customWidth="1"/>
    <col min="5" max="5" width="6.08984375" bestFit="1" customWidth="1"/>
    <col min="6" max="6" width="10.08984375" bestFit="1" customWidth="1"/>
    <col min="7" max="7" width="9.26953125" bestFit="1" customWidth="1"/>
    <col min="8" max="8" width="78.7265625" bestFit="1" customWidth="1"/>
    <col min="9" max="9" width="31.08984375" bestFit="1" customWidth="1"/>
    <col min="11" max="12" width="9.90625" bestFit="1" customWidth="1"/>
  </cols>
  <sheetData>
    <row r="1" spans="1:12" x14ac:dyDescent="0.35">
      <c r="A1" s="21" t="s">
        <v>250</v>
      </c>
      <c r="B1" s="22" t="s">
        <v>251</v>
      </c>
      <c r="C1" s="22" t="s">
        <v>551</v>
      </c>
      <c r="D1" s="22" t="s">
        <v>252</v>
      </c>
      <c r="E1" s="22" t="s">
        <v>253</v>
      </c>
      <c r="F1" s="22" t="s">
        <v>254</v>
      </c>
      <c r="G1" s="22" t="s">
        <v>255</v>
      </c>
      <c r="H1" s="22" t="s">
        <v>256</v>
      </c>
      <c r="I1" s="22" t="s">
        <v>257</v>
      </c>
      <c r="J1" s="23" t="s">
        <v>258</v>
      </c>
      <c r="K1" s="23" t="s">
        <v>259</v>
      </c>
      <c r="L1" s="23" t="s">
        <v>260</v>
      </c>
    </row>
    <row r="2" spans="1:12" x14ac:dyDescent="0.35">
      <c r="A2" s="24" t="s">
        <v>261</v>
      </c>
      <c r="B2" s="24" t="s">
        <v>262</v>
      </c>
      <c r="C2" s="24" t="s">
        <v>263</v>
      </c>
      <c r="D2" s="24" t="s">
        <v>264</v>
      </c>
      <c r="E2" s="24" t="s">
        <v>265</v>
      </c>
      <c r="F2" s="24">
        <v>8155001</v>
      </c>
      <c r="G2" s="24" t="s">
        <v>266</v>
      </c>
      <c r="H2" s="24" t="s">
        <v>267</v>
      </c>
      <c r="I2" s="24" t="s">
        <v>268</v>
      </c>
      <c r="J2" s="24">
        <v>6050</v>
      </c>
      <c r="K2" s="24">
        <v>11.277082999999999</v>
      </c>
      <c r="L2" s="24">
        <v>108.7345</v>
      </c>
    </row>
    <row r="3" spans="1:12" x14ac:dyDescent="0.35">
      <c r="A3" s="24" t="s">
        <v>261</v>
      </c>
      <c r="B3" s="24" t="s">
        <v>269</v>
      </c>
      <c r="C3" s="24" t="s">
        <v>270</v>
      </c>
      <c r="D3" s="24" t="s">
        <v>271</v>
      </c>
      <c r="E3" s="24" t="s">
        <v>272</v>
      </c>
      <c r="F3" s="24">
        <v>8169001</v>
      </c>
      <c r="G3" s="24" t="s">
        <v>273</v>
      </c>
      <c r="H3" s="24" t="s">
        <v>274</v>
      </c>
      <c r="I3" s="24" t="s">
        <v>275</v>
      </c>
      <c r="J3" s="24">
        <v>4770</v>
      </c>
      <c r="K3" s="24">
        <v>9.9647500000000004</v>
      </c>
      <c r="L3" s="24">
        <v>105.849417</v>
      </c>
    </row>
    <row r="4" spans="1:12" x14ac:dyDescent="0.35">
      <c r="A4" s="24" t="s">
        <v>261</v>
      </c>
      <c r="B4" s="24" t="s">
        <v>276</v>
      </c>
      <c r="C4" s="24" t="s">
        <v>277</v>
      </c>
      <c r="D4" s="24" t="s">
        <v>278</v>
      </c>
      <c r="E4" s="24" t="s">
        <v>279</v>
      </c>
      <c r="F4" s="24">
        <v>8156001</v>
      </c>
      <c r="G4" s="24" t="s">
        <v>280</v>
      </c>
      <c r="H4" s="24" t="s">
        <v>281</v>
      </c>
      <c r="I4" s="24" t="s">
        <v>282</v>
      </c>
      <c r="J4" s="24">
        <v>3600</v>
      </c>
      <c r="K4" s="24">
        <v>16.085000000000001</v>
      </c>
      <c r="L4" s="24">
        <v>108.140417</v>
      </c>
    </row>
    <row r="5" spans="1:12" x14ac:dyDescent="0.35">
      <c r="A5" s="24" t="s">
        <v>261</v>
      </c>
      <c r="B5" s="24" t="s">
        <v>283</v>
      </c>
      <c r="C5" s="24" t="s">
        <v>284</v>
      </c>
      <c r="D5" s="24" t="s">
        <v>285</v>
      </c>
      <c r="E5" s="24" t="s">
        <v>286</v>
      </c>
      <c r="F5" s="24">
        <v>8167001</v>
      </c>
      <c r="G5" s="24" t="s">
        <v>287</v>
      </c>
      <c r="H5" s="24" t="s">
        <v>288</v>
      </c>
      <c r="I5" s="24" t="s">
        <v>289</v>
      </c>
      <c r="J5" s="24">
        <v>12943</v>
      </c>
      <c r="K5" s="24">
        <v>10.786806</v>
      </c>
      <c r="L5" s="24">
        <v>106.99161100000001</v>
      </c>
    </row>
    <row r="6" spans="1:12" x14ac:dyDescent="0.35">
      <c r="A6" s="24" t="s">
        <v>261</v>
      </c>
      <c r="B6" s="24" t="s">
        <v>290</v>
      </c>
      <c r="C6" s="24" t="s">
        <v>291</v>
      </c>
      <c r="D6" s="24" t="s">
        <v>292</v>
      </c>
      <c r="E6" s="24" t="s">
        <v>293</v>
      </c>
      <c r="F6" s="24">
        <v>8157001</v>
      </c>
      <c r="G6" s="24" t="s">
        <v>294</v>
      </c>
      <c r="H6" s="24" t="s">
        <v>295</v>
      </c>
      <c r="I6" s="24" t="s">
        <v>296</v>
      </c>
      <c r="J6" s="24">
        <v>8196</v>
      </c>
      <c r="K6" s="24">
        <v>20.939</v>
      </c>
      <c r="L6" s="24">
        <v>106.295028</v>
      </c>
    </row>
    <row r="7" spans="1:12" x14ac:dyDescent="0.35">
      <c r="A7" s="24" t="s">
        <v>261</v>
      </c>
      <c r="B7" s="24" t="s">
        <v>297</v>
      </c>
      <c r="C7" s="24" t="s">
        <v>298</v>
      </c>
      <c r="D7" s="24" t="s">
        <v>299</v>
      </c>
      <c r="E7" s="24" t="s">
        <v>300</v>
      </c>
      <c r="F7" s="24">
        <v>8170001</v>
      </c>
      <c r="G7" s="24" t="s">
        <v>301</v>
      </c>
      <c r="H7" s="24" t="s">
        <v>302</v>
      </c>
      <c r="I7" s="24" t="s">
        <v>303</v>
      </c>
      <c r="J7" s="24">
        <v>5880</v>
      </c>
      <c r="K7" s="24">
        <v>20.819444000000001</v>
      </c>
      <c r="L7" s="24">
        <v>106.77761099999999</v>
      </c>
    </row>
    <row r="8" spans="1:12" x14ac:dyDescent="0.35">
      <c r="A8" s="24" t="s">
        <v>261</v>
      </c>
      <c r="B8" s="24" t="s">
        <v>304</v>
      </c>
      <c r="C8" s="24" t="s">
        <v>305</v>
      </c>
      <c r="D8" s="24" t="s">
        <v>306</v>
      </c>
      <c r="E8" s="24" t="s">
        <v>307</v>
      </c>
      <c r="F8" s="24">
        <v>8158001</v>
      </c>
      <c r="G8" s="24" t="s">
        <v>308</v>
      </c>
      <c r="H8" s="24" t="s">
        <v>309</v>
      </c>
      <c r="I8" s="24" t="s">
        <v>310</v>
      </c>
      <c r="J8" s="24">
        <v>1000</v>
      </c>
      <c r="K8" s="24">
        <v>9.9647780000000008</v>
      </c>
      <c r="L8" s="24">
        <v>105.842472</v>
      </c>
    </row>
    <row r="9" spans="1:12" x14ac:dyDescent="0.35">
      <c r="A9" s="24" t="s">
        <v>261</v>
      </c>
      <c r="B9" s="24" t="s">
        <v>311</v>
      </c>
      <c r="C9" s="24" t="s">
        <v>312</v>
      </c>
      <c r="D9" s="24" t="s">
        <v>313</v>
      </c>
      <c r="E9" s="24" t="s">
        <v>314</v>
      </c>
      <c r="F9" s="24">
        <v>8159001</v>
      </c>
      <c r="G9" s="24" t="s">
        <v>315</v>
      </c>
      <c r="H9" s="24" t="s">
        <v>316</v>
      </c>
      <c r="I9" s="24" t="s">
        <v>317</v>
      </c>
      <c r="J9" s="24">
        <v>6023.36</v>
      </c>
      <c r="K9" s="24">
        <v>20.896944000000001</v>
      </c>
      <c r="L9" s="24">
        <v>106.06626</v>
      </c>
    </row>
    <row r="10" spans="1:12" x14ac:dyDescent="0.35">
      <c r="A10" s="24" t="s">
        <v>261</v>
      </c>
      <c r="B10" s="24" t="s">
        <v>318</v>
      </c>
      <c r="C10" s="24" t="s">
        <v>312</v>
      </c>
      <c r="D10" s="24" t="s">
        <v>313</v>
      </c>
      <c r="E10" s="24" t="s">
        <v>314</v>
      </c>
      <c r="F10" s="24">
        <v>8159001</v>
      </c>
      <c r="G10" s="24" t="s">
        <v>315</v>
      </c>
      <c r="H10" s="24" t="s">
        <v>319</v>
      </c>
      <c r="I10" s="24" t="s">
        <v>320</v>
      </c>
      <c r="J10" s="24">
        <v>15196</v>
      </c>
      <c r="K10" s="24">
        <v>20.929167</v>
      </c>
      <c r="L10" s="24">
        <v>106.067278</v>
      </c>
    </row>
    <row r="11" spans="1:12" x14ac:dyDescent="0.35">
      <c r="A11" s="24" t="s">
        <v>261</v>
      </c>
      <c r="B11" s="24" t="s">
        <v>321</v>
      </c>
      <c r="C11" s="24" t="s">
        <v>312</v>
      </c>
      <c r="D11" s="24" t="s">
        <v>313</v>
      </c>
      <c r="E11" s="24" t="s">
        <v>314</v>
      </c>
      <c r="F11" s="24">
        <v>8159001</v>
      </c>
      <c r="G11" s="24" t="s">
        <v>315</v>
      </c>
      <c r="H11" s="24" t="s">
        <v>322</v>
      </c>
      <c r="I11" s="24" t="s">
        <v>323</v>
      </c>
      <c r="J11" s="24">
        <v>5000</v>
      </c>
      <c r="K11" s="24">
        <v>20.954388000000002</v>
      </c>
      <c r="L11" s="24">
        <v>106.005706</v>
      </c>
    </row>
    <row r="12" spans="1:12" x14ac:dyDescent="0.35">
      <c r="A12" s="24" t="s">
        <v>261</v>
      </c>
      <c r="B12" s="24" t="s">
        <v>324</v>
      </c>
      <c r="C12" s="24" t="s">
        <v>325</v>
      </c>
      <c r="D12" s="24" t="s">
        <v>326</v>
      </c>
      <c r="E12" s="24" t="s">
        <v>327</v>
      </c>
      <c r="F12" s="24">
        <v>8160001</v>
      </c>
      <c r="G12" s="24" t="s">
        <v>328</v>
      </c>
      <c r="H12" s="24" t="s">
        <v>329</v>
      </c>
      <c r="I12" s="24" t="s">
        <v>330</v>
      </c>
      <c r="J12" s="24">
        <v>15400</v>
      </c>
      <c r="K12" s="24">
        <v>18.828472000000001</v>
      </c>
      <c r="L12" s="24">
        <v>105.65686100000001</v>
      </c>
    </row>
    <row r="13" spans="1:12" x14ac:dyDescent="0.35">
      <c r="A13" s="24" t="s">
        <v>261</v>
      </c>
      <c r="B13" s="24" t="s">
        <v>331</v>
      </c>
      <c r="C13" s="24" t="s">
        <v>332</v>
      </c>
      <c r="D13" s="24" t="s">
        <v>333</v>
      </c>
      <c r="E13" s="24" t="s">
        <v>334</v>
      </c>
      <c r="F13" s="24">
        <v>8161001</v>
      </c>
      <c r="G13" s="24" t="s">
        <v>335</v>
      </c>
      <c r="H13" s="24" t="s">
        <v>336</v>
      </c>
      <c r="I13" s="24" t="s">
        <v>337</v>
      </c>
      <c r="J13" s="24">
        <v>1000</v>
      </c>
      <c r="K13" s="24">
        <v>13.011972</v>
      </c>
      <c r="L13" s="24">
        <v>109.364639</v>
      </c>
    </row>
    <row r="14" spans="1:12" x14ac:dyDescent="0.35">
      <c r="A14" s="24" t="s">
        <v>261</v>
      </c>
      <c r="B14" s="24" t="s">
        <v>338</v>
      </c>
      <c r="C14" s="24" t="s">
        <v>339</v>
      </c>
      <c r="D14" s="24" t="s">
        <v>340</v>
      </c>
      <c r="E14" s="24" t="s">
        <v>341</v>
      </c>
      <c r="F14" s="24">
        <v>8162001</v>
      </c>
      <c r="G14" s="24" t="s">
        <v>341</v>
      </c>
      <c r="H14" s="24" t="s">
        <v>342</v>
      </c>
      <c r="I14" s="24" t="s">
        <v>343</v>
      </c>
      <c r="J14" s="24">
        <v>900</v>
      </c>
      <c r="K14" s="24">
        <v>21.003305999999998</v>
      </c>
      <c r="L14" s="24">
        <v>107.223833</v>
      </c>
    </row>
    <row r="15" spans="1:12" x14ac:dyDescent="0.35">
      <c r="A15" s="24" t="s">
        <v>261</v>
      </c>
      <c r="B15" s="24" t="s">
        <v>344</v>
      </c>
      <c r="C15" s="24" t="s">
        <v>345</v>
      </c>
      <c r="D15" s="24" t="s">
        <v>346</v>
      </c>
      <c r="E15" s="24" t="s">
        <v>347</v>
      </c>
      <c r="F15" s="24">
        <v>8164001</v>
      </c>
      <c r="G15" s="24" t="s">
        <v>344</v>
      </c>
      <c r="H15" s="24" t="s">
        <v>348</v>
      </c>
      <c r="I15" s="24" t="s">
        <v>349</v>
      </c>
      <c r="J15" s="24">
        <v>20000</v>
      </c>
      <c r="K15" s="24">
        <v>10.926</v>
      </c>
      <c r="L15" s="24">
        <v>106.74458300000001</v>
      </c>
    </row>
    <row r="16" spans="1:12" x14ac:dyDescent="0.35">
      <c r="A16" s="24" t="s">
        <v>261</v>
      </c>
      <c r="B16" s="24" t="s">
        <v>350</v>
      </c>
      <c r="C16" s="24" t="s">
        <v>351</v>
      </c>
      <c r="D16" s="24" t="s">
        <v>352</v>
      </c>
      <c r="E16" s="24" t="s">
        <v>353</v>
      </c>
      <c r="F16" s="24">
        <v>8163001</v>
      </c>
      <c r="G16" s="24" t="s">
        <v>354</v>
      </c>
      <c r="H16" s="24" t="s">
        <v>355</v>
      </c>
      <c r="I16" s="24" t="s">
        <v>356</v>
      </c>
      <c r="J16" s="24">
        <v>28984</v>
      </c>
      <c r="K16" s="24">
        <v>10.890193999999999</v>
      </c>
      <c r="L16" s="24">
        <v>106.73433300000001</v>
      </c>
    </row>
    <row r="17" spans="1:12" x14ac:dyDescent="0.35">
      <c r="A17" s="24" t="s">
        <v>261</v>
      </c>
      <c r="B17" s="24" t="s">
        <v>357</v>
      </c>
      <c r="C17" s="24" t="s">
        <v>358</v>
      </c>
      <c r="D17" s="24"/>
      <c r="E17" s="24" t="s">
        <v>359</v>
      </c>
      <c r="F17" s="24">
        <v>8165001</v>
      </c>
      <c r="G17" s="24" t="s">
        <v>359</v>
      </c>
      <c r="H17" s="24" t="s">
        <v>360</v>
      </c>
      <c r="I17" s="24" t="s">
        <v>361</v>
      </c>
      <c r="J17" s="24">
        <v>730</v>
      </c>
      <c r="K17" s="24">
        <v>20.960806000000002</v>
      </c>
      <c r="L17" s="24">
        <v>107.027806</v>
      </c>
    </row>
    <row r="18" spans="1:12" x14ac:dyDescent="0.35">
      <c r="A18" s="24" t="s">
        <v>261</v>
      </c>
      <c r="B18" t="s">
        <v>362</v>
      </c>
      <c r="C18" s="24" t="s">
        <v>363</v>
      </c>
      <c r="D18" s="24" t="s">
        <v>364</v>
      </c>
      <c r="E18" s="24" t="s">
        <v>365</v>
      </c>
      <c r="F18" s="24">
        <v>8166001</v>
      </c>
      <c r="G18" s="24" t="s">
        <v>366</v>
      </c>
      <c r="H18" s="24" t="s">
        <v>367</v>
      </c>
      <c r="I18" s="24" t="s">
        <v>368</v>
      </c>
      <c r="J18" s="24">
        <v>7700</v>
      </c>
      <c r="K18" s="24">
        <v>10.820667</v>
      </c>
      <c r="L18" s="24">
        <v>106.61408299999999</v>
      </c>
    </row>
    <row r="19" spans="1:12" x14ac:dyDescent="0.35">
      <c r="A19" s="24" t="s">
        <v>261</v>
      </c>
      <c r="B19" s="24" t="s">
        <v>369</v>
      </c>
      <c r="C19" s="24" t="s">
        <v>363</v>
      </c>
      <c r="D19" s="24" t="s">
        <v>364</v>
      </c>
      <c r="E19" s="24" t="s">
        <v>365</v>
      </c>
      <c r="F19" s="24">
        <v>8166001</v>
      </c>
      <c r="G19" s="24" t="s">
        <v>366</v>
      </c>
      <c r="H19" s="24" t="s">
        <v>370</v>
      </c>
      <c r="I19" s="24" t="s">
        <v>371</v>
      </c>
      <c r="J19" s="24">
        <v>250</v>
      </c>
      <c r="K19" s="24">
        <v>10.820919999999999</v>
      </c>
      <c r="L19" s="24">
        <v>106.617099</v>
      </c>
    </row>
    <row r="20" spans="1:12" x14ac:dyDescent="0.35">
      <c r="A20" s="24" t="s">
        <v>261</v>
      </c>
      <c r="B20" s="24" t="s">
        <v>372</v>
      </c>
      <c r="C20" s="24" t="s">
        <v>363</v>
      </c>
      <c r="D20" s="24" t="s">
        <v>364</v>
      </c>
      <c r="E20" s="24" t="s">
        <v>365</v>
      </c>
      <c r="F20" s="24">
        <v>8166001</v>
      </c>
      <c r="G20" s="24" t="s">
        <v>366</v>
      </c>
      <c r="H20" s="24" t="s">
        <v>373</v>
      </c>
      <c r="I20" s="24" t="s">
        <v>371</v>
      </c>
      <c r="J20" s="24">
        <v>570</v>
      </c>
      <c r="K20" s="24">
        <v>10.820919999999999</v>
      </c>
      <c r="L20" s="24">
        <v>106.617099</v>
      </c>
    </row>
    <row r="21" spans="1:12" x14ac:dyDescent="0.35">
      <c r="A21" s="24" t="s">
        <v>261</v>
      </c>
      <c r="B21" s="24" t="s">
        <v>374</v>
      </c>
      <c r="C21" s="24" t="s">
        <v>375</v>
      </c>
      <c r="D21" s="24" t="s">
        <v>376</v>
      </c>
      <c r="E21" s="24" t="s">
        <v>353</v>
      </c>
      <c r="F21" s="24">
        <v>8171001</v>
      </c>
      <c r="G21" s="24" t="s">
        <v>354</v>
      </c>
      <c r="H21" s="24" t="s">
        <v>377</v>
      </c>
      <c r="I21" s="24" t="s">
        <v>378</v>
      </c>
      <c r="J21" s="24">
        <v>3850</v>
      </c>
      <c r="K21" s="24">
        <v>10.898892</v>
      </c>
      <c r="L21" s="24">
        <v>106.72275500000001</v>
      </c>
    </row>
    <row r="22" spans="1:12" x14ac:dyDescent="0.35">
      <c r="A22" s="24" t="s">
        <v>261</v>
      </c>
      <c r="B22" s="24" t="s">
        <v>379</v>
      </c>
      <c r="C22" s="24" t="s">
        <v>380</v>
      </c>
      <c r="D22" s="24" t="s">
        <v>381</v>
      </c>
      <c r="E22" s="24" t="s">
        <v>353</v>
      </c>
      <c r="F22" s="24"/>
      <c r="G22" s="24" t="s">
        <v>354</v>
      </c>
      <c r="H22" s="24"/>
      <c r="I22" s="24"/>
      <c r="J22" s="24">
        <v>3850</v>
      </c>
      <c r="K22" s="24">
        <v>10.898892</v>
      </c>
      <c r="L22" s="24">
        <v>106.72275500000001</v>
      </c>
    </row>
    <row r="23" spans="1:12" x14ac:dyDescent="0.35">
      <c r="A23" s="24" t="s">
        <v>261</v>
      </c>
      <c r="B23" s="24" t="s">
        <v>550</v>
      </c>
      <c r="C23" s="24"/>
      <c r="D23" s="24" t="s">
        <v>382</v>
      </c>
      <c r="E23" s="24"/>
      <c r="F23" s="24"/>
      <c r="G23" s="24" t="s">
        <v>383</v>
      </c>
      <c r="H23" s="24" t="s">
        <v>384</v>
      </c>
      <c r="I23" s="24" t="s">
        <v>385</v>
      </c>
      <c r="J23" s="24"/>
      <c r="K23" s="24">
        <v>10.851160102363</v>
      </c>
      <c r="L23" s="24">
        <v>106.95547296357</v>
      </c>
    </row>
    <row r="24" spans="1:12" x14ac:dyDescent="0.35">
      <c r="A24" s="24" t="s">
        <v>261</v>
      </c>
      <c r="B24" s="24"/>
      <c r="C24" s="24" t="s">
        <v>386</v>
      </c>
      <c r="D24" s="24"/>
      <c r="E24" s="24"/>
      <c r="F24" s="24"/>
      <c r="G24" s="24" t="s">
        <v>387</v>
      </c>
      <c r="H24" s="24" t="s">
        <v>388</v>
      </c>
      <c r="I24" s="24" t="s">
        <v>389</v>
      </c>
      <c r="J24" s="24"/>
      <c r="K24" s="24">
        <v>10.919767850139401</v>
      </c>
      <c r="L24" s="24">
        <v>106.859984357944</v>
      </c>
    </row>
    <row r="25" spans="1:12" x14ac:dyDescent="0.35">
      <c r="A25" s="24" t="s">
        <v>261</v>
      </c>
      <c r="B25" s="24"/>
      <c r="C25" s="24" t="s">
        <v>390</v>
      </c>
      <c r="D25" s="24"/>
      <c r="E25" s="24"/>
      <c r="F25" s="24"/>
      <c r="G25" s="24" t="s">
        <v>391</v>
      </c>
      <c r="H25" s="24" t="s">
        <v>392</v>
      </c>
      <c r="I25" s="24" t="s">
        <v>393</v>
      </c>
      <c r="J25" s="24"/>
      <c r="K25" s="24">
        <v>20.636496060714698</v>
      </c>
      <c r="L25" s="24">
        <v>105.885304474181</v>
      </c>
    </row>
    <row r="26" spans="1:12" x14ac:dyDescent="0.35">
      <c r="A26" s="24" t="s">
        <v>261</v>
      </c>
      <c r="B26" s="24"/>
      <c r="C26" s="24" t="s">
        <v>394</v>
      </c>
      <c r="D26" s="24"/>
      <c r="E26" s="24"/>
      <c r="F26" s="24"/>
      <c r="G26" s="24" t="s">
        <v>395</v>
      </c>
      <c r="H26" s="24" t="s">
        <v>396</v>
      </c>
      <c r="I26" s="24" t="s">
        <v>397</v>
      </c>
      <c r="J26" s="24"/>
      <c r="K26" s="24">
        <v>10.7830127888299</v>
      </c>
      <c r="L26" s="24">
        <v>106.460422876718</v>
      </c>
    </row>
    <row r="27" spans="1:12" x14ac:dyDescent="0.35">
      <c r="A27" s="24" t="s">
        <v>398</v>
      </c>
      <c r="B27" s="24"/>
      <c r="C27" s="24" t="s">
        <v>399</v>
      </c>
      <c r="D27" s="24"/>
      <c r="E27" s="24"/>
      <c r="F27" s="24"/>
      <c r="G27" s="24" t="s">
        <v>400</v>
      </c>
      <c r="H27" s="24" t="s">
        <v>401</v>
      </c>
      <c r="I27" s="24" t="s">
        <v>402</v>
      </c>
      <c r="J27" s="24"/>
      <c r="K27" s="24" t="s">
        <v>403</v>
      </c>
      <c r="L27" s="24" t="s">
        <v>404</v>
      </c>
    </row>
    <row r="28" spans="1:12" x14ac:dyDescent="0.35">
      <c r="A28" s="24" t="s">
        <v>398</v>
      </c>
      <c r="B28" s="24"/>
      <c r="C28" s="24" t="s">
        <v>405</v>
      </c>
      <c r="D28" s="24"/>
      <c r="E28" s="24"/>
      <c r="F28" s="24"/>
      <c r="G28" s="24" t="s">
        <v>406</v>
      </c>
      <c r="H28" s="24" t="s">
        <v>407</v>
      </c>
      <c r="I28" s="24" t="s">
        <v>408</v>
      </c>
      <c r="J28" s="24"/>
      <c r="K28" s="24" t="s">
        <v>409</v>
      </c>
      <c r="L28" s="24" t="s">
        <v>410</v>
      </c>
    </row>
    <row r="29" spans="1:12" x14ac:dyDescent="0.35">
      <c r="A29" s="24" t="s">
        <v>398</v>
      </c>
      <c r="B29" s="24"/>
      <c r="C29" s="24" t="s">
        <v>411</v>
      </c>
      <c r="D29" s="24"/>
      <c r="E29" s="24"/>
      <c r="F29" s="24"/>
      <c r="G29" s="24" t="s">
        <v>412</v>
      </c>
      <c r="H29" s="24" t="s">
        <v>413</v>
      </c>
      <c r="I29" s="24" t="s">
        <v>414</v>
      </c>
      <c r="J29" s="24"/>
      <c r="K29" s="24" t="s">
        <v>415</v>
      </c>
      <c r="L29" s="24" t="s">
        <v>416</v>
      </c>
    </row>
    <row r="30" spans="1:12" x14ac:dyDescent="0.35">
      <c r="A30" s="24" t="s">
        <v>398</v>
      </c>
      <c r="B30" s="24"/>
      <c r="C30" s="24" t="s">
        <v>417</v>
      </c>
      <c r="D30" s="24"/>
      <c r="E30" s="24"/>
      <c r="F30" s="24"/>
      <c r="G30" s="24" t="s">
        <v>418</v>
      </c>
      <c r="H30" s="24" t="s">
        <v>419</v>
      </c>
      <c r="I30" s="24" t="s">
        <v>420</v>
      </c>
      <c r="J30" s="24"/>
      <c r="K30" s="24" t="s">
        <v>421</v>
      </c>
      <c r="L30" s="24" t="s">
        <v>422</v>
      </c>
    </row>
    <row r="31" spans="1:12" x14ac:dyDescent="0.35">
      <c r="A31" s="24" t="s">
        <v>398</v>
      </c>
      <c r="B31" s="24"/>
      <c r="C31" s="24" t="s">
        <v>423</v>
      </c>
      <c r="D31" s="24"/>
      <c r="E31" s="24"/>
      <c r="F31" s="24"/>
      <c r="G31" s="24" t="s">
        <v>424</v>
      </c>
      <c r="H31" s="24" t="s">
        <v>425</v>
      </c>
      <c r="I31" s="24" t="s">
        <v>426</v>
      </c>
      <c r="J31" s="24"/>
      <c r="K31" s="24" t="s">
        <v>427</v>
      </c>
      <c r="L31" s="24" t="s">
        <v>428</v>
      </c>
    </row>
    <row r="32" spans="1:12" x14ac:dyDescent="0.35">
      <c r="A32" s="24" t="s">
        <v>398</v>
      </c>
      <c r="B32" s="24"/>
      <c r="C32" s="24" t="s">
        <v>429</v>
      </c>
      <c r="D32" s="24"/>
      <c r="E32" s="24"/>
      <c r="F32" s="24"/>
      <c r="G32" s="24" t="s">
        <v>430</v>
      </c>
      <c r="H32" s="24" t="s">
        <v>431</v>
      </c>
      <c r="I32" s="24" t="s">
        <v>432</v>
      </c>
      <c r="J32" s="24"/>
      <c r="K32" s="24" t="s">
        <v>433</v>
      </c>
      <c r="L32" s="24" t="s">
        <v>434</v>
      </c>
    </row>
    <row r="33" spans="1:12" x14ac:dyDescent="0.35">
      <c r="A33" s="24" t="s">
        <v>398</v>
      </c>
      <c r="B33" s="24"/>
      <c r="C33" s="24" t="s">
        <v>435</v>
      </c>
      <c r="D33" s="24"/>
      <c r="E33" s="24"/>
      <c r="F33" s="24"/>
      <c r="G33" s="24" t="s">
        <v>436</v>
      </c>
      <c r="H33" s="24" t="s">
        <v>437</v>
      </c>
      <c r="I33" s="24" t="s">
        <v>438</v>
      </c>
      <c r="J33" s="24"/>
      <c r="K33" s="24" t="s">
        <v>439</v>
      </c>
      <c r="L33" s="24" t="s">
        <v>440</v>
      </c>
    </row>
    <row r="34" spans="1:12" x14ac:dyDescent="0.35">
      <c r="A34" s="24" t="s">
        <v>398</v>
      </c>
      <c r="B34" s="24"/>
      <c r="C34" s="24" t="s">
        <v>441</v>
      </c>
      <c r="D34" s="24"/>
      <c r="E34" s="24"/>
      <c r="F34" s="24"/>
      <c r="G34" s="24" t="s">
        <v>442</v>
      </c>
      <c r="H34" s="24" t="s">
        <v>443</v>
      </c>
      <c r="I34" s="24" t="s">
        <v>444</v>
      </c>
      <c r="J34" s="24"/>
      <c r="K34" s="24" t="s">
        <v>445</v>
      </c>
      <c r="L34" s="24" t="s">
        <v>446</v>
      </c>
    </row>
    <row r="35" spans="1:12" x14ac:dyDescent="0.35">
      <c r="A35" s="24" t="s">
        <v>398</v>
      </c>
      <c r="B35" s="24"/>
      <c r="C35" s="24" t="s">
        <v>447</v>
      </c>
      <c r="D35" s="24"/>
      <c r="E35" s="24"/>
      <c r="F35" s="24"/>
      <c r="G35" s="24" t="s">
        <v>448</v>
      </c>
      <c r="H35" s="24" t="s">
        <v>443</v>
      </c>
      <c r="I35" s="24" t="s">
        <v>444</v>
      </c>
      <c r="J35" s="24"/>
      <c r="K35" s="24" t="s">
        <v>445</v>
      </c>
      <c r="L35" s="24" t="s">
        <v>446</v>
      </c>
    </row>
    <row r="36" spans="1:12" x14ac:dyDescent="0.35">
      <c r="A36" s="24" t="s">
        <v>398</v>
      </c>
      <c r="B36" s="24"/>
      <c r="C36" s="24" t="s">
        <v>449</v>
      </c>
      <c r="D36" s="24"/>
      <c r="E36" s="24"/>
      <c r="F36" s="24"/>
      <c r="G36" s="24" t="s">
        <v>450</v>
      </c>
      <c r="H36" s="24" t="s">
        <v>451</v>
      </c>
      <c r="I36" s="24" t="s">
        <v>452</v>
      </c>
      <c r="J36" s="24"/>
      <c r="K36" s="24" t="s">
        <v>453</v>
      </c>
      <c r="L36" s="24" t="s">
        <v>454</v>
      </c>
    </row>
    <row r="37" spans="1:12" x14ac:dyDescent="0.35">
      <c r="A37" s="24" t="s">
        <v>398</v>
      </c>
      <c r="B37" s="24"/>
      <c r="C37" s="24" t="s">
        <v>455</v>
      </c>
      <c r="D37" s="24"/>
      <c r="E37" s="24"/>
      <c r="F37" s="24"/>
      <c r="G37" s="24" t="s">
        <v>456</v>
      </c>
      <c r="H37" s="24" t="s">
        <v>457</v>
      </c>
      <c r="I37" s="24" t="s">
        <v>458</v>
      </c>
      <c r="J37" s="24"/>
      <c r="K37" s="24" t="s">
        <v>459</v>
      </c>
      <c r="L37" s="24" t="s">
        <v>460</v>
      </c>
    </row>
    <row r="38" spans="1:12" x14ac:dyDescent="0.35">
      <c r="A38" s="24" t="s">
        <v>398</v>
      </c>
      <c r="B38" s="24"/>
      <c r="C38" s="24" t="s">
        <v>461</v>
      </c>
      <c r="D38" s="24"/>
      <c r="E38" s="24"/>
      <c r="F38" s="24"/>
      <c r="G38" s="24" t="s">
        <v>287</v>
      </c>
      <c r="H38" s="24" t="s">
        <v>462</v>
      </c>
      <c r="I38" s="24" t="s">
        <v>463</v>
      </c>
      <c r="J38" s="24"/>
      <c r="K38" s="24" t="s">
        <v>464</v>
      </c>
      <c r="L38" s="24" t="s">
        <v>465</v>
      </c>
    </row>
    <row r="39" spans="1:12" x14ac:dyDescent="0.35">
      <c r="A39" s="24" t="s">
        <v>398</v>
      </c>
      <c r="B39" s="24"/>
      <c r="C39" s="24" t="s">
        <v>466</v>
      </c>
      <c r="D39" s="24"/>
      <c r="E39" s="24"/>
      <c r="F39" s="24"/>
      <c r="G39" s="24" t="s">
        <v>467</v>
      </c>
      <c r="H39" s="24" t="s">
        <v>468</v>
      </c>
      <c r="I39" s="24" t="s">
        <v>469</v>
      </c>
      <c r="J39" s="24"/>
      <c r="K39" s="24" t="s">
        <v>470</v>
      </c>
      <c r="L39" s="24" t="s">
        <v>471</v>
      </c>
    </row>
    <row r="40" spans="1:12" x14ac:dyDescent="0.35">
      <c r="A40" s="24" t="s">
        <v>398</v>
      </c>
      <c r="B40" s="24"/>
      <c r="C40" s="24" t="s">
        <v>472</v>
      </c>
      <c r="D40" s="24"/>
      <c r="E40" s="24"/>
      <c r="F40" s="24"/>
      <c r="G40" s="24" t="s">
        <v>473</v>
      </c>
      <c r="H40" s="24" t="s">
        <v>468</v>
      </c>
      <c r="I40" s="24" t="s">
        <v>469</v>
      </c>
      <c r="J40" s="24"/>
      <c r="K40" s="24" t="s">
        <v>470</v>
      </c>
      <c r="L40" s="24" t="s">
        <v>471</v>
      </c>
    </row>
    <row r="41" spans="1:12" x14ac:dyDescent="0.35">
      <c r="A41" s="24" t="s">
        <v>398</v>
      </c>
      <c r="B41" s="24"/>
      <c r="C41" s="24" t="s">
        <v>474</v>
      </c>
      <c r="D41" s="24"/>
      <c r="E41" s="24"/>
      <c r="F41" s="24"/>
      <c r="G41" s="24" t="s">
        <v>475</v>
      </c>
      <c r="H41" s="24" t="s">
        <v>476</v>
      </c>
      <c r="I41" s="24" t="s">
        <v>477</v>
      </c>
      <c r="J41" s="24"/>
      <c r="K41" s="24" t="s">
        <v>478</v>
      </c>
      <c r="L41" s="24" t="s">
        <v>479</v>
      </c>
    </row>
    <row r="42" spans="1:12" x14ac:dyDescent="0.35">
      <c r="A42" s="24" t="s">
        <v>398</v>
      </c>
      <c r="B42" s="24"/>
      <c r="C42" s="24" t="s">
        <v>480</v>
      </c>
      <c r="D42" s="24"/>
      <c r="E42" s="24"/>
      <c r="F42" s="24"/>
      <c r="G42" s="24" t="s">
        <v>481</v>
      </c>
      <c r="H42" s="24" t="s">
        <v>482</v>
      </c>
      <c r="I42" s="24" t="s">
        <v>483</v>
      </c>
      <c r="J42" s="24"/>
      <c r="K42" s="24" t="s">
        <v>484</v>
      </c>
      <c r="L42" s="24" t="s">
        <v>485</v>
      </c>
    </row>
    <row r="43" spans="1:12" x14ac:dyDescent="0.35">
      <c r="A43" s="24" t="s">
        <v>398</v>
      </c>
      <c r="B43" s="24"/>
      <c r="C43" s="24" t="s">
        <v>486</v>
      </c>
      <c r="D43" s="24"/>
      <c r="E43" s="24"/>
      <c r="F43" s="24"/>
      <c r="G43" s="24" t="s">
        <v>487</v>
      </c>
      <c r="H43" s="24" t="s">
        <v>488</v>
      </c>
      <c r="I43" s="24" t="s">
        <v>489</v>
      </c>
      <c r="J43" s="24"/>
      <c r="K43" s="24" t="s">
        <v>490</v>
      </c>
      <c r="L43" s="24" t="s">
        <v>491</v>
      </c>
    </row>
    <row r="44" spans="1:12" x14ac:dyDescent="0.35">
      <c r="A44" s="24" t="s">
        <v>398</v>
      </c>
      <c r="B44" s="24"/>
      <c r="C44" s="24" t="s">
        <v>492</v>
      </c>
      <c r="D44" s="24"/>
      <c r="E44" s="24"/>
      <c r="F44" s="24"/>
      <c r="G44" s="24" t="s">
        <v>493</v>
      </c>
      <c r="H44" s="24" t="s">
        <v>494</v>
      </c>
      <c r="I44" s="24" t="s">
        <v>495</v>
      </c>
      <c r="J44" s="24"/>
      <c r="K44" s="24" t="s">
        <v>496</v>
      </c>
      <c r="L44" s="24" t="s">
        <v>497</v>
      </c>
    </row>
    <row r="45" spans="1:12" x14ac:dyDescent="0.35">
      <c r="A45" s="24" t="s">
        <v>398</v>
      </c>
      <c r="B45" s="24"/>
      <c r="C45" s="24" t="s">
        <v>498</v>
      </c>
      <c r="D45" s="24"/>
      <c r="E45" s="24"/>
      <c r="F45" s="24"/>
      <c r="G45" s="24" t="s">
        <v>499</v>
      </c>
      <c r="H45" s="24" t="s">
        <v>500</v>
      </c>
      <c r="I45" s="24" t="s">
        <v>501</v>
      </c>
      <c r="J45" s="24"/>
      <c r="K45" s="24" t="s">
        <v>502</v>
      </c>
      <c r="L45" s="24" t="s">
        <v>503</v>
      </c>
    </row>
    <row r="46" spans="1:12" x14ac:dyDescent="0.35">
      <c r="A46" s="24" t="s">
        <v>398</v>
      </c>
      <c r="B46" s="24"/>
      <c r="C46" s="24" t="s">
        <v>504</v>
      </c>
      <c r="D46" s="24"/>
      <c r="E46" s="24"/>
      <c r="F46" s="24"/>
      <c r="G46" s="24" t="s">
        <v>505</v>
      </c>
      <c r="H46" s="24" t="s">
        <v>500</v>
      </c>
      <c r="I46" s="24" t="s">
        <v>501</v>
      </c>
      <c r="J46" s="24"/>
      <c r="K46" s="24" t="s">
        <v>502</v>
      </c>
      <c r="L46" s="24" t="s">
        <v>503</v>
      </c>
    </row>
    <row r="47" spans="1:12" x14ac:dyDescent="0.35">
      <c r="A47" s="24" t="s">
        <v>398</v>
      </c>
      <c r="B47" s="24"/>
      <c r="C47" s="24" t="s">
        <v>506</v>
      </c>
      <c r="D47" s="24"/>
      <c r="E47" s="24"/>
      <c r="F47" s="24"/>
      <c r="G47" s="24" t="s">
        <v>507</v>
      </c>
      <c r="H47" s="24" t="s">
        <v>508</v>
      </c>
      <c r="I47" s="24" t="s">
        <v>509</v>
      </c>
      <c r="J47" s="24"/>
      <c r="K47" s="24" t="s">
        <v>510</v>
      </c>
      <c r="L47" s="24" t="s">
        <v>511</v>
      </c>
    </row>
    <row r="48" spans="1:12" x14ac:dyDescent="0.35">
      <c r="A48" s="24" t="s">
        <v>398</v>
      </c>
      <c r="B48" s="24"/>
      <c r="C48" s="24" t="s">
        <v>512</v>
      </c>
      <c r="D48" s="24"/>
      <c r="E48" s="24"/>
      <c r="F48" s="24"/>
      <c r="G48" s="24" t="s">
        <v>513</v>
      </c>
      <c r="H48" s="24" t="s">
        <v>514</v>
      </c>
      <c r="I48" s="24" t="s">
        <v>515</v>
      </c>
      <c r="J48" s="24"/>
      <c r="K48" s="24" t="s">
        <v>516</v>
      </c>
      <c r="L48" s="24" t="s">
        <v>517</v>
      </c>
    </row>
    <row r="49" spans="1:12" x14ac:dyDescent="0.35">
      <c r="A49" s="24" t="s">
        <v>398</v>
      </c>
      <c r="B49" s="24"/>
      <c r="C49" s="24" t="s">
        <v>518</v>
      </c>
      <c r="D49" s="24"/>
      <c r="E49" s="24"/>
      <c r="F49" s="24"/>
      <c r="G49" s="24" t="s">
        <v>519</v>
      </c>
      <c r="H49" s="24" t="s">
        <v>520</v>
      </c>
      <c r="I49" s="24" t="s">
        <v>521</v>
      </c>
      <c r="J49" s="24"/>
      <c r="K49" s="24" t="s">
        <v>522</v>
      </c>
      <c r="L49" s="24" t="s">
        <v>523</v>
      </c>
    </row>
    <row r="50" spans="1:12" x14ac:dyDescent="0.35">
      <c r="A50" s="24" t="s">
        <v>398</v>
      </c>
      <c r="B50" s="24"/>
      <c r="C50" s="24" t="s">
        <v>524</v>
      </c>
      <c r="D50" s="24"/>
      <c r="E50" s="24"/>
      <c r="F50" s="24"/>
      <c r="G50" s="24" t="s">
        <v>525</v>
      </c>
      <c r="H50" s="24" t="s">
        <v>526</v>
      </c>
      <c r="I50" s="24" t="s">
        <v>527</v>
      </c>
      <c r="J50" s="24"/>
      <c r="K50" s="24" t="s">
        <v>528</v>
      </c>
      <c r="L50" s="24" t="s">
        <v>529</v>
      </c>
    </row>
    <row r="51" spans="1:12" x14ac:dyDescent="0.35">
      <c r="A51" s="24" t="s">
        <v>398</v>
      </c>
      <c r="B51" s="24"/>
      <c r="C51" s="24" t="s">
        <v>530</v>
      </c>
      <c r="D51" s="24"/>
      <c r="E51" s="24"/>
      <c r="F51" s="24"/>
      <c r="G51" s="24" t="s">
        <v>531</v>
      </c>
      <c r="H51" s="24" t="s">
        <v>532</v>
      </c>
      <c r="I51" s="24"/>
      <c r="J51" s="24"/>
      <c r="K51" s="24"/>
      <c r="L51" s="24"/>
    </row>
    <row r="52" spans="1:12" x14ac:dyDescent="0.35">
      <c r="A52" s="24" t="s">
        <v>398</v>
      </c>
      <c r="B52" s="24"/>
      <c r="C52" s="24" t="s">
        <v>533</v>
      </c>
      <c r="D52" s="24"/>
      <c r="E52" s="24"/>
      <c r="F52" s="24"/>
      <c r="G52" s="24" t="s">
        <v>534</v>
      </c>
      <c r="H52" s="24" t="s">
        <v>535</v>
      </c>
      <c r="I52" s="24" t="s">
        <v>536</v>
      </c>
      <c r="J52" s="24"/>
      <c r="K52" s="24" t="s">
        <v>537</v>
      </c>
      <c r="L52" s="24" t="s">
        <v>538</v>
      </c>
    </row>
    <row r="53" spans="1:12" x14ac:dyDescent="0.35">
      <c r="A53" s="24" t="s">
        <v>398</v>
      </c>
      <c r="B53" s="24"/>
      <c r="C53" s="24" t="s">
        <v>539</v>
      </c>
      <c r="D53" s="24"/>
      <c r="E53" s="24"/>
      <c r="F53" s="24"/>
      <c r="G53" s="24" t="s">
        <v>540</v>
      </c>
      <c r="H53" s="24" t="s">
        <v>541</v>
      </c>
      <c r="I53" s="24" t="s">
        <v>542</v>
      </c>
      <c r="J53" s="24"/>
      <c r="K53" s="24" t="s">
        <v>543</v>
      </c>
      <c r="L53" s="24" t="s">
        <v>544</v>
      </c>
    </row>
    <row r="54" spans="1:12" x14ac:dyDescent="0.35">
      <c r="A54" s="24" t="s">
        <v>398</v>
      </c>
      <c r="B54" s="24"/>
      <c r="C54" s="24" t="s">
        <v>545</v>
      </c>
      <c r="D54" s="24"/>
      <c r="E54" s="24"/>
      <c r="F54" s="24"/>
      <c r="G54" s="24" t="s">
        <v>546</v>
      </c>
      <c r="H54" s="24" t="s">
        <v>396</v>
      </c>
      <c r="I54" s="24" t="s">
        <v>547</v>
      </c>
      <c r="J54" s="24"/>
      <c r="K54" s="24" t="s">
        <v>548</v>
      </c>
      <c r="L54" s="24" t="s">
        <v>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15D7-FFFA-4576-8F67-7F5C67294773}">
  <dimension ref="A1:C63"/>
  <sheetViews>
    <sheetView topLeftCell="A27" workbookViewId="0">
      <selection activeCell="B43" sqref="B43"/>
    </sheetView>
  </sheetViews>
  <sheetFormatPr defaultRowHeight="14.5" x14ac:dyDescent="0.35"/>
  <sheetData>
    <row r="1" spans="1:3" x14ac:dyDescent="0.35">
      <c r="A1" s="5" t="s">
        <v>126</v>
      </c>
      <c r="B1" s="5" t="s">
        <v>127</v>
      </c>
      <c r="C1" s="6">
        <v>1</v>
      </c>
    </row>
    <row r="2" spans="1:3" x14ac:dyDescent="0.35">
      <c r="A2" s="5" t="s">
        <v>128</v>
      </c>
      <c r="B2" s="5" t="s">
        <v>129</v>
      </c>
      <c r="C2" s="6">
        <v>1</v>
      </c>
    </row>
    <row r="3" spans="1:3" x14ac:dyDescent="0.35">
      <c r="A3" s="5" t="s">
        <v>130</v>
      </c>
      <c r="B3" s="5" t="s">
        <v>131</v>
      </c>
      <c r="C3" s="6">
        <v>1</v>
      </c>
    </row>
    <row r="4" spans="1:3" x14ac:dyDescent="0.35">
      <c r="A4" s="5" t="s">
        <v>132</v>
      </c>
      <c r="B4" s="5" t="s">
        <v>133</v>
      </c>
      <c r="C4" s="6">
        <v>1</v>
      </c>
    </row>
    <row r="5" spans="1:3" x14ac:dyDescent="0.35">
      <c r="A5" s="5" t="s">
        <v>134</v>
      </c>
      <c r="B5" s="5" t="s">
        <v>135</v>
      </c>
      <c r="C5" s="6">
        <v>1</v>
      </c>
    </row>
    <row r="6" spans="1:3" x14ac:dyDescent="0.35">
      <c r="A6" s="5" t="s">
        <v>136</v>
      </c>
      <c r="B6" s="5" t="s">
        <v>137</v>
      </c>
      <c r="C6" s="7">
        <v>5</v>
      </c>
    </row>
    <row r="7" spans="1:3" x14ac:dyDescent="0.35">
      <c r="A7" s="5" t="s">
        <v>138</v>
      </c>
      <c r="B7" s="5" t="s">
        <v>139</v>
      </c>
      <c r="C7" s="6">
        <v>1</v>
      </c>
    </row>
    <row r="8" spans="1:3" x14ac:dyDescent="0.35">
      <c r="A8" s="5" t="s">
        <v>140</v>
      </c>
      <c r="B8" s="5" t="s">
        <v>141</v>
      </c>
      <c r="C8" s="8">
        <v>2</v>
      </c>
    </row>
    <row r="9" spans="1:3" x14ac:dyDescent="0.35">
      <c r="A9" s="5" t="s">
        <v>142</v>
      </c>
      <c r="B9" s="5" t="s">
        <v>143</v>
      </c>
      <c r="C9" s="8">
        <v>2</v>
      </c>
    </row>
    <row r="10" spans="1:3" x14ac:dyDescent="0.35">
      <c r="A10" s="5" t="s">
        <v>144</v>
      </c>
      <c r="B10" s="5" t="s">
        <v>145</v>
      </c>
      <c r="C10" s="8">
        <v>2</v>
      </c>
    </row>
    <row r="11" spans="1:3" x14ac:dyDescent="0.35">
      <c r="A11" s="5" t="s">
        <v>146</v>
      </c>
      <c r="B11" s="5" t="s">
        <v>147</v>
      </c>
      <c r="C11" s="9">
        <v>3</v>
      </c>
    </row>
    <row r="12" spans="1:3" x14ac:dyDescent="0.35">
      <c r="A12" s="5" t="s">
        <v>148</v>
      </c>
      <c r="B12" s="5" t="s">
        <v>149</v>
      </c>
      <c r="C12" s="9">
        <v>3</v>
      </c>
    </row>
    <row r="13" spans="1:3" x14ac:dyDescent="0.35">
      <c r="A13" s="5" t="s">
        <v>150</v>
      </c>
      <c r="B13" s="5" t="s">
        <v>151</v>
      </c>
      <c r="C13" s="6">
        <v>1</v>
      </c>
    </row>
    <row r="14" spans="1:3" x14ac:dyDescent="0.35">
      <c r="A14" s="5" t="s">
        <v>152</v>
      </c>
      <c r="B14" s="5" t="s">
        <v>153</v>
      </c>
      <c r="C14" s="8">
        <v>2</v>
      </c>
    </row>
    <row r="15" spans="1:3" x14ac:dyDescent="0.35">
      <c r="A15" s="5" t="s">
        <v>154</v>
      </c>
      <c r="B15" s="5" t="s">
        <v>155</v>
      </c>
      <c r="C15" s="10">
        <v>4</v>
      </c>
    </row>
    <row r="16" spans="1:3" x14ac:dyDescent="0.35">
      <c r="A16" s="5" t="s">
        <v>156</v>
      </c>
      <c r="B16" s="5" t="s">
        <v>156</v>
      </c>
      <c r="C16" s="10">
        <v>4</v>
      </c>
    </row>
    <row r="17" spans="1:3" x14ac:dyDescent="0.35">
      <c r="A17" s="5" t="s">
        <v>157</v>
      </c>
      <c r="B17" s="5" t="s">
        <v>158</v>
      </c>
      <c r="C17" s="9">
        <v>3</v>
      </c>
    </row>
    <row r="18" spans="1:3" x14ac:dyDescent="0.35">
      <c r="A18" s="5" t="s">
        <v>159</v>
      </c>
      <c r="B18" s="5" t="s">
        <v>160</v>
      </c>
      <c r="C18" s="10">
        <v>4</v>
      </c>
    </row>
    <row r="19" spans="1:3" x14ac:dyDescent="0.35">
      <c r="A19" s="5" t="s">
        <v>161</v>
      </c>
      <c r="B19" s="5" t="s">
        <v>162</v>
      </c>
      <c r="C19" s="9">
        <v>3</v>
      </c>
    </row>
    <row r="20" spans="1:3" x14ac:dyDescent="0.35">
      <c r="A20" s="5" t="s">
        <v>163</v>
      </c>
      <c r="B20" s="5" t="s">
        <v>163</v>
      </c>
      <c r="C20" s="8">
        <v>2</v>
      </c>
    </row>
    <row r="21" spans="1:3" x14ac:dyDescent="0.35">
      <c r="A21" s="5" t="s">
        <v>164</v>
      </c>
      <c r="B21" s="5" t="s">
        <v>165</v>
      </c>
      <c r="C21" s="8">
        <v>2</v>
      </c>
    </row>
    <row r="22" spans="1:3" x14ac:dyDescent="0.35">
      <c r="A22" s="5" t="s">
        <v>166</v>
      </c>
      <c r="B22" s="5" t="s">
        <v>167</v>
      </c>
      <c r="C22" s="10">
        <v>4</v>
      </c>
    </row>
    <row r="23" spans="1:3" x14ac:dyDescent="0.35">
      <c r="A23" s="5" t="s">
        <v>168</v>
      </c>
      <c r="B23" s="5" t="s">
        <v>169</v>
      </c>
      <c r="C23" s="10">
        <v>4</v>
      </c>
    </row>
    <row r="24" spans="1:3" x14ac:dyDescent="0.35">
      <c r="A24" s="5" t="s">
        <v>170</v>
      </c>
      <c r="B24" s="5" t="s">
        <v>171</v>
      </c>
      <c r="C24" s="10">
        <v>4</v>
      </c>
    </row>
    <row r="25" spans="1:3" x14ac:dyDescent="0.35">
      <c r="A25" s="5" t="s">
        <v>172</v>
      </c>
      <c r="B25" s="5" t="s">
        <v>173</v>
      </c>
      <c r="C25" s="7">
        <v>5</v>
      </c>
    </row>
    <row r="26" spans="1:3" x14ac:dyDescent="0.35">
      <c r="A26" s="5" t="s">
        <v>174</v>
      </c>
      <c r="B26" s="5" t="s">
        <v>175</v>
      </c>
      <c r="C26" s="7">
        <v>5</v>
      </c>
    </row>
    <row r="27" spans="1:3" x14ac:dyDescent="0.35">
      <c r="A27" s="5" t="s">
        <v>176</v>
      </c>
      <c r="B27" s="5" t="s">
        <v>177</v>
      </c>
      <c r="C27" s="11">
        <v>6</v>
      </c>
    </row>
    <row r="28" spans="1:3" x14ac:dyDescent="0.35">
      <c r="A28" s="5" t="s">
        <v>178</v>
      </c>
      <c r="B28" s="5" t="s">
        <v>179</v>
      </c>
      <c r="C28" s="11">
        <v>6</v>
      </c>
    </row>
    <row r="29" spans="1:3" x14ac:dyDescent="0.35">
      <c r="A29" s="5" t="s">
        <v>180</v>
      </c>
      <c r="B29" s="5" t="s">
        <v>181</v>
      </c>
      <c r="C29" s="11">
        <v>6</v>
      </c>
    </row>
    <row r="30" spans="1:3" x14ac:dyDescent="0.35">
      <c r="A30" s="5" t="s">
        <v>182</v>
      </c>
      <c r="B30" s="5" t="s">
        <v>183</v>
      </c>
      <c r="C30" s="12">
        <v>7</v>
      </c>
    </row>
    <row r="31" spans="1:3" x14ac:dyDescent="0.35">
      <c r="A31" s="13" t="s">
        <v>184</v>
      </c>
      <c r="B31" s="13" t="s">
        <v>185</v>
      </c>
      <c r="C31" s="12">
        <v>7</v>
      </c>
    </row>
    <row r="32" spans="1:3" x14ac:dyDescent="0.35">
      <c r="A32" s="5" t="s">
        <v>186</v>
      </c>
      <c r="B32" s="5" t="s">
        <v>186</v>
      </c>
      <c r="C32" s="12">
        <v>7</v>
      </c>
    </row>
    <row r="33" spans="1:3" x14ac:dyDescent="0.35">
      <c r="A33" s="5" t="s">
        <v>187</v>
      </c>
      <c r="B33" s="5" t="s">
        <v>188</v>
      </c>
      <c r="C33" s="12">
        <v>7</v>
      </c>
    </row>
    <row r="34" spans="1:3" x14ac:dyDescent="0.35">
      <c r="A34" s="5" t="s">
        <v>189</v>
      </c>
      <c r="B34" s="5" t="s">
        <v>190</v>
      </c>
      <c r="C34" s="12">
        <v>7</v>
      </c>
    </row>
    <row r="35" spans="1:3" x14ac:dyDescent="0.35">
      <c r="A35" s="5" t="s">
        <v>191</v>
      </c>
      <c r="B35" s="5" t="s">
        <v>192</v>
      </c>
      <c r="C35" s="14">
        <v>8</v>
      </c>
    </row>
    <row r="36" spans="1:3" x14ac:dyDescent="0.35">
      <c r="A36" s="5" t="s">
        <v>193</v>
      </c>
      <c r="B36" s="5" t="s">
        <v>194</v>
      </c>
      <c r="C36" s="14">
        <v>8</v>
      </c>
    </row>
    <row r="37" spans="1:3" x14ac:dyDescent="0.35">
      <c r="A37" s="5" t="s">
        <v>195</v>
      </c>
      <c r="B37" s="5" t="s">
        <v>196</v>
      </c>
      <c r="C37" s="15">
        <v>10</v>
      </c>
    </row>
    <row r="38" spans="1:3" x14ac:dyDescent="0.35">
      <c r="A38" s="5" t="s">
        <v>197</v>
      </c>
      <c r="B38" s="5" t="s">
        <v>198</v>
      </c>
      <c r="C38" s="15">
        <v>10</v>
      </c>
    </row>
    <row r="39" spans="1:3" x14ac:dyDescent="0.35">
      <c r="A39" s="5" t="s">
        <v>199</v>
      </c>
      <c r="B39" s="5" t="s">
        <v>200</v>
      </c>
      <c r="C39" s="15">
        <v>10</v>
      </c>
    </row>
    <row r="40" spans="1:3" x14ac:dyDescent="0.35">
      <c r="A40" s="5" t="s">
        <v>201</v>
      </c>
      <c r="B40" s="5" t="s">
        <v>202</v>
      </c>
      <c r="C40" s="14">
        <v>8</v>
      </c>
    </row>
    <row r="41" spans="1:3" x14ac:dyDescent="0.35">
      <c r="A41" s="5" t="s">
        <v>203</v>
      </c>
      <c r="B41" s="5" t="s">
        <v>204</v>
      </c>
      <c r="C41" s="14">
        <v>8</v>
      </c>
    </row>
    <row r="42" spans="1:3" x14ac:dyDescent="0.35">
      <c r="A42" s="5" t="s">
        <v>205</v>
      </c>
      <c r="B42" s="5" t="s">
        <v>206</v>
      </c>
      <c r="C42" s="16">
        <v>9</v>
      </c>
    </row>
    <row r="43" spans="1:3" x14ac:dyDescent="0.35">
      <c r="A43" s="5" t="s">
        <v>207</v>
      </c>
      <c r="B43" s="5" t="s">
        <v>208</v>
      </c>
      <c r="C43" s="16">
        <v>9</v>
      </c>
    </row>
    <row r="44" spans="1:3" x14ac:dyDescent="0.35">
      <c r="A44" s="5" t="s">
        <v>209</v>
      </c>
      <c r="B44" s="5" t="s">
        <v>210</v>
      </c>
      <c r="C44" s="16">
        <v>9</v>
      </c>
    </row>
    <row r="45" spans="1:3" x14ac:dyDescent="0.35">
      <c r="A45" s="5" t="s">
        <v>211</v>
      </c>
      <c r="B45" s="5" t="s">
        <v>212</v>
      </c>
      <c r="C45" s="17">
        <v>12</v>
      </c>
    </row>
    <row r="46" spans="1:3" x14ac:dyDescent="0.35">
      <c r="A46" s="5" t="s">
        <v>213</v>
      </c>
      <c r="B46" s="5" t="s">
        <v>214</v>
      </c>
      <c r="C46" s="17">
        <v>12</v>
      </c>
    </row>
    <row r="47" spans="1:3" x14ac:dyDescent="0.35">
      <c r="A47" s="5" t="s">
        <v>215</v>
      </c>
      <c r="B47" s="5" t="s">
        <v>216</v>
      </c>
      <c r="C47" s="18">
        <v>11</v>
      </c>
    </row>
    <row r="48" spans="1:3" x14ac:dyDescent="0.35">
      <c r="A48" s="5" t="s">
        <v>217</v>
      </c>
      <c r="B48" s="5" t="s">
        <v>218</v>
      </c>
      <c r="C48" s="18">
        <v>11</v>
      </c>
    </row>
    <row r="49" spans="1:3" x14ac:dyDescent="0.35">
      <c r="A49" s="5" t="s">
        <v>219</v>
      </c>
      <c r="B49" s="5" t="s">
        <v>220</v>
      </c>
      <c r="C49" s="18">
        <v>11</v>
      </c>
    </row>
    <row r="50" spans="1:3" x14ac:dyDescent="0.35">
      <c r="A50" s="5" t="s">
        <v>221</v>
      </c>
      <c r="B50" s="5" t="s">
        <v>221</v>
      </c>
      <c r="C50" s="18">
        <v>11</v>
      </c>
    </row>
    <row r="51" spans="1:3" x14ac:dyDescent="0.35">
      <c r="A51" s="5" t="s">
        <v>222</v>
      </c>
      <c r="B51" s="5" t="s">
        <v>223</v>
      </c>
      <c r="C51" s="19">
        <v>13</v>
      </c>
    </row>
    <row r="52" spans="1:3" x14ac:dyDescent="0.35">
      <c r="A52" s="5" t="s">
        <v>224</v>
      </c>
      <c r="B52" s="5" t="s">
        <v>225</v>
      </c>
      <c r="C52" s="19">
        <v>13</v>
      </c>
    </row>
    <row r="53" spans="1:3" x14ac:dyDescent="0.35">
      <c r="A53" s="5" t="s">
        <v>226</v>
      </c>
      <c r="B53" s="5" t="s">
        <v>227</v>
      </c>
      <c r="C53" s="19">
        <v>13</v>
      </c>
    </row>
    <row r="54" spans="1:3" x14ac:dyDescent="0.35">
      <c r="A54" s="5" t="s">
        <v>228</v>
      </c>
      <c r="B54" s="5" t="s">
        <v>229</v>
      </c>
      <c r="C54" s="19">
        <v>13</v>
      </c>
    </row>
    <row r="55" spans="1:3" x14ac:dyDescent="0.35">
      <c r="A55" s="5" t="s">
        <v>230</v>
      </c>
      <c r="B55" s="5" t="s">
        <v>231</v>
      </c>
      <c r="C55" s="19">
        <v>13</v>
      </c>
    </row>
    <row r="56" spans="1:3" x14ac:dyDescent="0.35">
      <c r="A56" s="5" t="s">
        <v>232</v>
      </c>
      <c r="B56" s="5" t="s">
        <v>233</v>
      </c>
      <c r="C56" s="19">
        <v>13</v>
      </c>
    </row>
    <row r="57" spans="1:3" x14ac:dyDescent="0.35">
      <c r="A57" s="5" t="s">
        <v>234</v>
      </c>
      <c r="B57" s="5" t="s">
        <v>235</v>
      </c>
      <c r="C57" s="20">
        <v>14</v>
      </c>
    </row>
    <row r="58" spans="1:3" x14ac:dyDescent="0.35">
      <c r="A58" s="5" t="s">
        <v>236</v>
      </c>
      <c r="B58" s="5" t="s">
        <v>236</v>
      </c>
      <c r="C58" s="20">
        <v>14</v>
      </c>
    </row>
    <row r="59" spans="1:3" x14ac:dyDescent="0.35">
      <c r="A59" s="5" t="s">
        <v>237</v>
      </c>
      <c r="B59" s="5" t="s">
        <v>238</v>
      </c>
      <c r="C59" s="20">
        <v>14</v>
      </c>
    </row>
    <row r="60" spans="1:3" x14ac:dyDescent="0.35">
      <c r="A60" s="5" t="s">
        <v>239</v>
      </c>
      <c r="B60" s="5" t="s">
        <v>240</v>
      </c>
      <c r="C60" s="20">
        <v>14</v>
      </c>
    </row>
    <row r="61" spans="1:3" x14ac:dyDescent="0.35">
      <c r="A61" s="5" t="s">
        <v>241</v>
      </c>
      <c r="B61" s="5" t="s">
        <v>242</v>
      </c>
      <c r="C61" s="20">
        <v>14</v>
      </c>
    </row>
    <row r="62" spans="1:3" x14ac:dyDescent="0.35">
      <c r="A62" s="5" t="s">
        <v>243</v>
      </c>
      <c r="B62" s="5" t="s">
        <v>244</v>
      </c>
      <c r="C62" s="20">
        <v>14</v>
      </c>
    </row>
    <row r="63" spans="1:3" x14ac:dyDescent="0.35">
      <c r="A63" s="5" t="s">
        <v>245</v>
      </c>
      <c r="B63" s="5" t="s">
        <v>246</v>
      </c>
      <c r="C63" s="2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LatLong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Thành Phát (TSC-TCKT-MN)</dc:creator>
  <cp:lastModifiedBy>Thanh Phat</cp:lastModifiedBy>
  <dcterms:created xsi:type="dcterms:W3CDTF">2015-06-05T18:17:20Z</dcterms:created>
  <dcterms:modified xsi:type="dcterms:W3CDTF">2026-06-22T02:35:55Z</dcterms:modified>
</cp:coreProperties>
</file>